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filterPrivacy="1" codeName="ThisWorkbook" defaultThemeVersion="124226"/>
  <xr:revisionPtr revIDLastSave="0" documentId="13_ncr:1_{19BD6643-0952-4DDF-986C-5B78FDDE0FC2}" xr6:coauthVersionLast="47" xr6:coauthVersionMax="47" xr10:uidLastSave="{00000000-0000-0000-0000-000000000000}"/>
  <bookViews>
    <workbookView xWindow="-28920" yWindow="3015" windowWidth="29040" windowHeight="15720" tabRatio="323" xr2:uid="{00000000-000D-0000-FFFF-FFFF00000000}"/>
  </bookViews>
  <sheets>
    <sheet name="Feuil1" sheetId="3" r:id="rId1"/>
    <sheet name="Data" sheetId="1" r:id="rId2"/>
    <sheet name="Notes" sheetId="2" r:id="rId3"/>
  </sheets>
  <definedNames>
    <definedName name="ARBAMPCCCR">Data!$B$12:$B$89</definedName>
    <definedName name="ARBAMPCNCRT">Data!$C$12:$C$89</definedName>
    <definedName name="Chart">"Chart"</definedName>
    <definedName name="Heatmap">"Heatmap"</definedName>
    <definedName name="Histogram">"Histogram"</definedName>
    <definedName name="_xlnm.Print_Titles" localSheetId="1">Data!$A:$A,Data!$1:$11</definedName>
    <definedName name="Map">"Map"</definedName>
    <definedName name="PieChart">"PieChart"</definedName>
    <definedName name="Series">"Series"</definedName>
    <definedName name="Table">"Table"</definedName>
    <definedName name="_xlnm.Print_Area" localSheetId="1">Data!$B$12:$C$89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2" i="1" l="1"/>
  <c r="H94" i="1"/>
  <c r="H93" i="1"/>
  <c r="H90" i="1"/>
  <c r="H87" i="1"/>
  <c r="H85" i="1"/>
  <c r="H86" i="1"/>
  <c r="H83" i="1"/>
  <c r="E86" i="1"/>
  <c r="H81" i="1"/>
  <c r="H80" i="1"/>
  <c r="H78" i="1"/>
  <c r="H74" i="1"/>
  <c r="H72" i="1"/>
  <c r="H68" i="1"/>
  <c r="H63" i="1"/>
  <c r="H57" i="1"/>
  <c r="H55" i="1"/>
  <c r="H52" i="1"/>
  <c r="H50" i="1"/>
  <c r="H51" i="1"/>
  <c r="H49" i="1"/>
  <c r="H47" i="1"/>
  <c r="H41" i="1"/>
  <c r="H37" i="1"/>
  <c r="H36" i="1"/>
  <c r="H35" i="1"/>
  <c r="H33" i="1"/>
  <c r="H30" i="1"/>
  <c r="H29" i="1"/>
  <c r="H27" i="1"/>
  <c r="H25" i="1"/>
  <c r="H107" i="1"/>
  <c r="H22" i="1"/>
  <c r="E22" i="1"/>
  <c r="D107" i="1"/>
  <c r="F107" i="1" s="1"/>
  <c r="E107" i="1"/>
  <c r="E21" i="1"/>
  <c r="E23" i="1"/>
  <c r="E24" i="1"/>
  <c r="E25" i="1"/>
  <c r="E26" i="1"/>
  <c r="E27" i="1"/>
  <c r="E28"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7" i="1"/>
  <c r="E88" i="1"/>
  <c r="E89" i="1"/>
  <c r="E90" i="1"/>
  <c r="E91" i="1"/>
  <c r="E92" i="1"/>
  <c r="E93" i="1"/>
  <c r="E94" i="1"/>
  <c r="E95" i="1"/>
  <c r="E96" i="1"/>
  <c r="E97" i="1"/>
  <c r="E98" i="1"/>
  <c r="E99" i="1"/>
  <c r="E100" i="1"/>
  <c r="E101" i="1"/>
  <c r="E102" i="1"/>
  <c r="E103" i="1"/>
  <c r="E104" i="1"/>
  <c r="E105" i="1"/>
  <c r="E106" i="1"/>
  <c r="E29" i="1"/>
  <c r="F80" i="1"/>
  <c r="G80" i="1" s="1"/>
  <c r="D80" i="1"/>
  <c r="D93" i="1"/>
  <c r="D85" i="1"/>
  <c r="D86" i="1"/>
  <c r="D83" i="1"/>
  <c r="D22" i="1"/>
  <c r="D24" i="1"/>
  <c r="D25" i="1"/>
  <c r="D26" i="1"/>
  <c r="D27" i="1"/>
  <c r="D28" i="1"/>
  <c r="D29" i="1"/>
  <c r="D30" i="1"/>
  <c r="D31" i="1"/>
  <c r="D32" i="1"/>
  <c r="D33" i="1"/>
  <c r="D34" i="1"/>
  <c r="D35" i="1"/>
  <c r="D36" i="1"/>
  <c r="D37" i="1"/>
  <c r="D38" i="1"/>
  <c r="D39" i="1"/>
  <c r="D40" i="1"/>
  <c r="D41" i="1"/>
  <c r="D42" i="1"/>
  <c r="D43" i="1"/>
  <c r="D44" i="1"/>
  <c r="D45" i="1"/>
  <c r="D46" i="1"/>
  <c r="D47" i="1"/>
  <c r="D48" i="1"/>
  <c r="D49" i="1"/>
  <c r="D50" i="1"/>
  <c r="G50" i="1" s="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1" i="1"/>
  <c r="D82" i="1"/>
  <c r="D84" i="1"/>
  <c r="D87" i="1"/>
  <c r="D88" i="1"/>
  <c r="D89" i="1"/>
  <c r="D90" i="1"/>
  <c r="D91" i="1"/>
  <c r="D92" i="1"/>
  <c r="D94" i="1"/>
  <c r="D95" i="1"/>
  <c r="D96" i="1"/>
  <c r="D97" i="1"/>
  <c r="D98" i="1"/>
  <c r="D99" i="1"/>
  <c r="D100" i="1"/>
  <c r="D101" i="1"/>
  <c r="D102" i="1"/>
  <c r="D103" i="1"/>
  <c r="D104" i="1"/>
  <c r="D105" i="1"/>
  <c r="D106" i="1"/>
  <c r="D23" i="1"/>
  <c r="F99" i="1" l="1"/>
  <c r="F100" i="1"/>
  <c r="F85" i="1"/>
  <c r="G85" i="1" s="1"/>
  <c r="F106" i="1"/>
  <c r="F104" i="1"/>
  <c r="F90" i="1"/>
  <c r="F101" i="1"/>
  <c r="F91" i="1"/>
  <c r="F103" i="1"/>
  <c r="F88" i="1"/>
  <c r="F96" i="1"/>
  <c r="F55" i="1"/>
  <c r="F31" i="1"/>
  <c r="F43" i="1"/>
  <c r="F79" i="1"/>
  <c r="F67" i="1"/>
  <c r="F95" i="1"/>
  <c r="F38" i="1"/>
  <c r="F87" i="1"/>
  <c r="F74" i="1"/>
  <c r="F26" i="1"/>
  <c r="F82" i="1"/>
  <c r="F69" i="1"/>
  <c r="F57" i="1"/>
  <c r="F45" i="1"/>
  <c r="F33" i="1"/>
  <c r="F77" i="1"/>
  <c r="F62" i="1"/>
  <c r="F41" i="1"/>
  <c r="F92" i="1"/>
  <c r="F76" i="1"/>
  <c r="F64" i="1"/>
  <c r="F52" i="1"/>
  <c r="F40" i="1"/>
  <c r="F28" i="1"/>
  <c r="F63" i="1"/>
  <c r="F51" i="1"/>
  <c r="F39" i="1"/>
  <c r="F27" i="1"/>
  <c r="F86" i="1"/>
  <c r="G86" i="1" s="1"/>
  <c r="F53" i="1"/>
  <c r="F75" i="1"/>
  <c r="F73" i="1"/>
  <c r="F61" i="1"/>
  <c r="F65" i="1"/>
  <c r="F35" i="1"/>
  <c r="G35" i="1" s="1"/>
  <c r="F71" i="1"/>
  <c r="F84" i="1"/>
  <c r="F59" i="1"/>
  <c r="F93" i="1"/>
  <c r="G93" i="1" s="1"/>
  <c r="F47" i="1"/>
  <c r="F98" i="1"/>
  <c r="F97" i="1"/>
  <c r="F49" i="1"/>
  <c r="F37" i="1"/>
  <c r="F25" i="1"/>
  <c r="F72" i="1"/>
  <c r="F36" i="1"/>
  <c r="G36" i="1" s="1"/>
  <c r="F24" i="1"/>
  <c r="F89" i="1"/>
  <c r="F50" i="1"/>
  <c r="F102" i="1"/>
  <c r="F70" i="1"/>
  <c r="F58" i="1"/>
  <c r="F46" i="1"/>
  <c r="F34" i="1"/>
  <c r="F22" i="1"/>
  <c r="F48" i="1"/>
  <c r="F81" i="1"/>
  <c r="F68" i="1"/>
  <c r="F56" i="1"/>
  <c r="F44" i="1"/>
  <c r="F32" i="1"/>
  <c r="F83" i="1"/>
  <c r="F29" i="1"/>
  <c r="G29" i="1" s="1"/>
  <c r="F78" i="1"/>
  <c r="F30" i="1"/>
  <c r="F60" i="1"/>
  <c r="F54" i="1"/>
  <c r="F23" i="1"/>
  <c r="F66" i="1"/>
  <c r="F42" i="1"/>
  <c r="F94" i="1"/>
  <c r="F105" i="1"/>
  <c r="G51" i="1"/>
  <c r="G102" i="1" l="1"/>
  <c r="G27" i="1"/>
  <c r="G78" i="1"/>
  <c r="G33" i="1"/>
  <c r="G81" i="1"/>
  <c r="G25" i="1"/>
  <c r="G30" i="1"/>
  <c r="G94" i="1"/>
  <c r="G22" i="1"/>
  <c r="G52" i="1"/>
  <c r="G49" i="1"/>
  <c r="G55" i="1"/>
  <c r="G90" i="1"/>
  <c r="G63" i="1"/>
  <c r="G74" i="1"/>
  <c r="G87" i="1"/>
  <c r="G41" i="1"/>
  <c r="G72" i="1"/>
  <c r="G68" i="1"/>
  <c r="G37" i="1"/>
  <c r="G57" i="1"/>
  <c r="G83" i="1"/>
  <c r="G47" i="1"/>
</calcChain>
</file>

<file path=xl/sharedStrings.xml><?xml version="1.0" encoding="utf-8"?>
<sst xmlns="http://schemas.openxmlformats.org/spreadsheetml/2006/main" count="30" uniqueCount="25">
  <si>
    <t>Title</t>
  </si>
  <si>
    <t>Description</t>
  </si>
  <si>
    <t>Frequency</t>
  </si>
  <si>
    <t>Type</t>
  </si>
  <si>
    <t>Units</t>
  </si>
  <si>
    <t>Source</t>
  </si>
  <si>
    <t>Publication date</t>
  </si>
  <si>
    <t>Series ID</t>
  </si>
  <si>
    <t>RBA</t>
  </si>
  <si>
    <t>Per cent</t>
  </si>
  <si>
    <t>ARBAMPCCCR</t>
  </si>
  <si>
    <t>New Cash Rate Target</t>
  </si>
  <si>
    <t>ARBAMPCNCRT</t>
  </si>
  <si>
    <t>As announced</t>
  </si>
  <si>
    <t>Change in Cash Rate Target</t>
  </si>
  <si>
    <t>Original</t>
  </si>
  <si>
    <t>Monetary policy changes are expressed in terms of a target for the cash rate – the interest rate paid or received on unsecured overnight funds in the interbank market. Commencing February 2008, the announcement is made on the day of the Reserve Bank Board meeting, effective the following day. Prior to this time, the announcement and effective dates were the same.</t>
  </si>
  <si>
    <t>Change in Cash Rate Target (in percentage points)</t>
  </si>
  <si>
    <t>The Cash Rate Target As Announced</t>
  </si>
  <si>
    <t>A2 RESERVE BANK OF AUSTRALIA – MONETARY POLICY CHANGES</t>
  </si>
  <si>
    <t>-0.50 to -1.00</t>
  </si>
  <si>
    <t>17.00 to 17.50</t>
  </si>
  <si>
    <t>16.50 to 17.00</t>
  </si>
  <si>
    <t>-1.00 to -1.50</t>
  </si>
  <si>
    <t>15.00 to 15.50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</si>
</sst>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lt;0]\-0.00;[&gt;0]\+0.00;General"/>
    <numFmt numFmtId="165" formatCode="d\-mmm\-yyyy"/>
    <numFmt numFmtId="166" formatCode="dd\-mmm\-yyyy"/>
  </numFmts>
  <fonts count="9" x14ac:knownFonts="1">
    <font>
      <sz val="11"/>
      <color theme="1"/>
      <name val="Calibri"/>
      <family val="2"/>
      <scheme val="minor"/>
    </font>
    <font>
      <sz val="10"/>
      <name val="Arial"/>
      <family val="2"/>
    </font>
    <font>
      <b/>
      <sz val="9"/>
      <name val="Arial"/>
      <family val="2"/>
    </font>
    <font>
      <sz val="9"/>
      <name val="Arial"/>
      <family val="2"/>
    </font>
    <font>
      <sz val="10"/>
      <name val="Arial"/>
      <family val="2"/>
    </font>
    <font>
      <sz val="9"/>
      <color indexed="8"/>
      <name val="Arial"/>
      <family val="2"/>
    </font>
    <font>
      <sz val="9"/>
      <color theme="1"/>
      <name val="Arial"/>
      <family val="2"/>
    </font>
    <font>
      <sz val="9"/>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1" fillId="0" borderId="0"/>
    <xf numFmtId="0" fontId="4" fillId="0" borderId="0"/>
    <xf numFmtId="9" fontId="8" fillId="0" borderId="0" applyFont="0" applyFill="0" applyBorder="0" applyAlignment="0" applyProtection="0"/>
  </cellStyleXfs>
  <cellXfs count="20">
    <xf numFmtId="0" fontId="0" fillId="0" borderId="0" xfId="0"/>
    <xf numFmtId="0" fontId="2" fillId="0" borderId="0" xfId="1" applyFont="1" applyAlignment="1">
      <alignment horizontal="left"/>
    </xf>
    <xf numFmtId="0" fontId="6" fillId="0" borderId="0" xfId="0" applyFont="1" applyAlignment="1">
      <alignment horizontal="left" wrapText="1"/>
    </xf>
    <xf numFmtId="0" fontId="7" fillId="0" borderId="0" xfId="0" applyFont="1" applyAlignment="1">
      <alignment horizontal="left" wrapText="1"/>
    </xf>
    <xf numFmtId="0" fontId="3" fillId="0" borderId="0" xfId="1" applyFont="1" applyAlignment="1">
      <alignment horizontal="left" wrapText="1"/>
    </xf>
    <xf numFmtId="0" fontId="3" fillId="0" borderId="0" xfId="0" applyFont="1" applyAlignment="1">
      <alignment horizontal="left" vertical="center" wrapText="1"/>
    </xf>
    <xf numFmtId="0" fontId="7" fillId="0" borderId="0" xfId="0" applyFont="1" applyAlignment="1">
      <alignment horizontal="right"/>
    </xf>
    <xf numFmtId="0" fontId="0" fillId="0" borderId="0" xfId="0" applyAlignment="1">
      <alignment horizontal="right"/>
    </xf>
    <xf numFmtId="2" fontId="3" fillId="0" borderId="0" xfId="2" applyNumberFormat="1" applyFont="1" applyAlignment="1">
      <alignment horizontal="right"/>
    </xf>
    <xf numFmtId="165" fontId="3" fillId="0" borderId="0" xfId="2" applyNumberFormat="1" applyFont="1" applyAlignment="1">
      <alignment horizontal="right"/>
    </xf>
    <xf numFmtId="164" fontId="3" fillId="0" borderId="0" xfId="2" quotePrefix="1" applyNumberFormat="1" applyFont="1" applyAlignment="1">
      <alignment horizontal="right"/>
    </xf>
    <xf numFmtId="166" fontId="3" fillId="0" borderId="0" xfId="2" applyNumberFormat="1" applyFont="1" applyAlignment="1">
      <alignment horizontal="right"/>
    </xf>
    <xf numFmtId="164" fontId="3" fillId="0" borderId="0" xfId="2" applyNumberFormat="1" applyFont="1" applyAlignment="1">
      <alignment horizontal="right"/>
    </xf>
    <xf numFmtId="166" fontId="6" fillId="0" borderId="0" xfId="0" applyNumberFormat="1" applyFont="1" applyAlignment="1">
      <alignment horizontal="left" wrapText="1"/>
    </xf>
    <xf numFmtId="0" fontId="6" fillId="0" borderId="0" xfId="0" applyFont="1"/>
    <xf numFmtId="0" fontId="5" fillId="0" borderId="0" xfId="1" applyFont="1" applyAlignment="1">
      <alignment vertical="center" wrapText="1"/>
    </xf>
    <xf numFmtId="10" fontId="7" fillId="0" borderId="0" xfId="3" applyNumberFormat="1" applyFont="1" applyAlignment="1">
      <alignment horizontal="right"/>
    </xf>
    <xf numFmtId="10" fontId="7" fillId="0" borderId="0" xfId="0" applyNumberFormat="1" applyFont="1" applyAlignment="1">
      <alignment horizontal="right"/>
    </xf>
    <xf numFmtId="10" fontId="7" fillId="0" borderId="0" xfId="3" applyNumberFormat="1" applyFont="1" applyFill="1" applyAlignment="1">
      <alignment horizontal="right"/>
    </xf>
    <xf numFmtId="10" fontId="0" fillId="0" borderId="0" xfId="3" applyNumberFormat="1" applyFont="1"/>
  </cellXfs>
  <cellStyles count="4">
    <cellStyle name="Normal" xfId="0" builtinId="0"/>
    <cellStyle name="Normal 2" xfId="1" xr:uid="{00000000-0005-0000-0000-000001000000}"/>
    <cellStyle name="Normal 3" xfId="2" xr:uid="{00000000-0005-0000-0000-000002000000}"/>
    <cellStyle name="Pourcentag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BAD71-1172-415B-A363-25539A427A6E}">
  <dimension ref="A1:C33"/>
  <sheetViews>
    <sheetView tabSelected="1" zoomScale="130" zoomScaleNormal="130" workbookViewId="0">
      <selection activeCell="K21" activeCellId="1" sqref="C1:C30 K21"/>
    </sheetView>
  </sheetViews>
  <sheetFormatPr baseColWidth="10" defaultRowHeight="15" x14ac:dyDescent="0.25"/>
  <cols>
    <col min="2" max="2" width="11.42578125" style="19"/>
  </cols>
  <sheetData>
    <row r="1" spans="1:3" x14ac:dyDescent="0.25">
      <c r="A1">
        <v>1993</v>
      </c>
      <c r="B1" s="19">
        <v>6.9059233203775161E-2</v>
      </c>
      <c r="C1" s="19">
        <v>0.05</v>
      </c>
    </row>
    <row r="2" spans="1:3" x14ac:dyDescent="0.25">
      <c r="A2">
        <v>1994</v>
      </c>
      <c r="B2" s="19">
        <v>2.2120655742026152E-2</v>
      </c>
      <c r="C2" s="19">
        <v>0.06</v>
      </c>
    </row>
    <row r="3" spans="1:3" x14ac:dyDescent="0.25">
      <c r="A3">
        <v>1995</v>
      </c>
      <c r="B3" s="19">
        <v>0.12111764710274198</v>
      </c>
      <c r="C3" s="19">
        <v>7.4999999999999997E-2</v>
      </c>
    </row>
    <row r="4" spans="1:3" x14ac:dyDescent="0.25">
      <c r="A4">
        <v>1996</v>
      </c>
      <c r="B4" s="19">
        <v>5.1508732230007404E-2</v>
      </c>
      <c r="C4" s="19">
        <v>6.5000000000000002E-2</v>
      </c>
    </row>
    <row r="5" spans="1:3" x14ac:dyDescent="0.25">
      <c r="A5">
        <v>1997</v>
      </c>
      <c r="B5" s="19">
        <v>7.8395019472575544E-2</v>
      </c>
      <c r="C5" s="19">
        <v>5.2500000000000005E-2</v>
      </c>
    </row>
    <row r="6" spans="1:3" x14ac:dyDescent="0.25">
      <c r="A6">
        <v>1998</v>
      </c>
      <c r="B6" s="19">
        <v>4.364489335866506E-2</v>
      </c>
      <c r="C6" s="19">
        <v>4.7500000000000001E-2</v>
      </c>
    </row>
    <row r="7" spans="1:3" x14ac:dyDescent="0.25">
      <c r="A7">
        <v>1999</v>
      </c>
      <c r="B7" s="19">
        <v>1.2238406961043724E-2</v>
      </c>
      <c r="C7" s="19">
        <v>0.05</v>
      </c>
    </row>
    <row r="8" spans="1:3" x14ac:dyDescent="0.25">
      <c r="A8">
        <v>2000</v>
      </c>
      <c r="B8" s="19">
        <v>6.1251988082128062E-2</v>
      </c>
      <c r="C8" s="19">
        <v>5.8749999999999997E-2</v>
      </c>
    </row>
    <row r="9" spans="1:3" x14ac:dyDescent="0.25">
      <c r="A9">
        <v>2001</v>
      </c>
      <c r="B9" s="19">
        <v>5.939689835987072E-2</v>
      </c>
      <c r="C9" s="19">
        <v>4.9583333333333333E-2</v>
      </c>
    </row>
    <row r="10" spans="1:3" x14ac:dyDescent="0.25">
      <c r="A10">
        <v>2002</v>
      </c>
      <c r="B10" s="19">
        <v>7.1688610269182718E-2</v>
      </c>
      <c r="C10" s="19">
        <v>4.6249999999999999E-2</v>
      </c>
    </row>
    <row r="11" spans="1:3" ht="16.5" customHeight="1" x14ac:dyDescent="0.25">
      <c r="A11">
        <v>2003</v>
      </c>
      <c r="B11" s="19">
        <v>6.965801449209863E-2</v>
      </c>
      <c r="C11" s="19">
        <v>0.05</v>
      </c>
    </row>
    <row r="12" spans="1:3" x14ac:dyDescent="0.25">
      <c r="A12">
        <v>2004</v>
      </c>
      <c r="B12" s="19">
        <v>5.2499999999999998E-2</v>
      </c>
      <c r="C12" s="19">
        <v>5.2499999999999998E-2</v>
      </c>
    </row>
    <row r="13" spans="1:3" x14ac:dyDescent="0.25">
      <c r="A13">
        <v>2005</v>
      </c>
      <c r="B13" s="19">
        <v>6.4638561785381299E-2</v>
      </c>
      <c r="C13" s="19">
        <v>5.5E-2</v>
      </c>
    </row>
    <row r="14" spans="1:3" x14ac:dyDescent="0.25">
      <c r="A14">
        <v>2006</v>
      </c>
      <c r="B14" s="19">
        <v>7.7805805606365297E-2</v>
      </c>
      <c r="C14" s="19">
        <v>0.06</v>
      </c>
    </row>
    <row r="15" spans="1:3" x14ac:dyDescent="0.25">
      <c r="A15">
        <v>2007</v>
      </c>
      <c r="B15" s="19">
        <v>3.2502733736334166E-2</v>
      </c>
      <c r="C15" s="19">
        <v>6.6250000000000003E-2</v>
      </c>
    </row>
    <row r="16" spans="1:3" x14ac:dyDescent="0.25">
      <c r="A16">
        <v>2008</v>
      </c>
      <c r="B16" s="19">
        <v>6.4130007743544493E-2</v>
      </c>
      <c r="C16" s="19">
        <v>6.1249999999999999E-2</v>
      </c>
    </row>
    <row r="17" spans="1:3" x14ac:dyDescent="0.25">
      <c r="A17">
        <v>2009</v>
      </c>
      <c r="B17" s="19">
        <v>3.51331405589137E-2</v>
      </c>
      <c r="C17" s="19">
        <v>3.3500000000000002E-2</v>
      </c>
    </row>
    <row r="18" spans="1:3" x14ac:dyDescent="0.25">
      <c r="A18">
        <v>2010</v>
      </c>
      <c r="B18" s="19">
        <v>7.8079441911371283E-2</v>
      </c>
      <c r="C18" s="19">
        <v>4.3749999999999997E-2</v>
      </c>
    </row>
    <row r="19" spans="1:3" x14ac:dyDescent="0.25">
      <c r="A19">
        <v>2011</v>
      </c>
      <c r="B19" s="19">
        <v>2.1205200686995385E-2</v>
      </c>
      <c r="C19" s="19">
        <v>4.3749999999999997E-2</v>
      </c>
    </row>
    <row r="20" spans="1:3" x14ac:dyDescent="0.25">
      <c r="A20">
        <v>2012</v>
      </c>
      <c r="B20" s="19">
        <v>1.4855171998268357E-2</v>
      </c>
      <c r="C20" s="19">
        <v>3.3750000000000002E-2</v>
      </c>
    </row>
    <row r="21" spans="1:3" x14ac:dyDescent="0.25">
      <c r="A21">
        <v>2013</v>
      </c>
      <c r="B21" s="19">
        <v>1.6848645591915234E-2</v>
      </c>
      <c r="C21" s="19">
        <v>2.6250000000000002E-2</v>
      </c>
    </row>
    <row r="22" spans="1:3" x14ac:dyDescent="0.25">
      <c r="A22">
        <v>2014</v>
      </c>
      <c r="B22" s="19">
        <v>2.7360350640402764E-2</v>
      </c>
      <c r="C22" s="19">
        <v>2.5000000000000001E-2</v>
      </c>
    </row>
    <row r="23" spans="1:3" x14ac:dyDescent="0.25">
      <c r="A23">
        <v>2015</v>
      </c>
      <c r="B23" s="19">
        <v>2.5618438842631042E-2</v>
      </c>
      <c r="C23" s="19">
        <v>2.1249999999999998E-2</v>
      </c>
    </row>
    <row r="24" spans="1:3" x14ac:dyDescent="0.25">
      <c r="A24">
        <v>2016</v>
      </c>
      <c r="B24" s="19">
        <v>1.9399664132836003E-2</v>
      </c>
      <c r="C24" s="19">
        <v>1.6250000000000001E-2</v>
      </c>
    </row>
    <row r="25" spans="1:3" x14ac:dyDescent="0.25">
      <c r="A25">
        <v>2017</v>
      </c>
      <c r="B25" s="19">
        <v>1.4999999999999902E-2</v>
      </c>
      <c r="C25" s="19">
        <v>1.4999999999999999E-2</v>
      </c>
    </row>
    <row r="26" spans="1:3" x14ac:dyDescent="0.25">
      <c r="A26">
        <v>2018</v>
      </c>
      <c r="B26" s="19">
        <v>1.2560184854183642E-2</v>
      </c>
      <c r="C26" s="19">
        <v>1.4999999999999999E-2</v>
      </c>
    </row>
    <row r="27" spans="1:3" x14ac:dyDescent="0.25">
      <c r="A27">
        <v>2019</v>
      </c>
      <c r="B27" s="19">
        <v>6.6080413770477353E-3</v>
      </c>
      <c r="C27" s="19">
        <v>0.01</v>
      </c>
    </row>
    <row r="28" spans="1:3" x14ac:dyDescent="0.25">
      <c r="A28">
        <v>2020</v>
      </c>
      <c r="B28" s="19">
        <v>1.9458832413057348E-3</v>
      </c>
      <c r="C28" s="19">
        <v>2.8333333333333335E-3</v>
      </c>
    </row>
    <row r="29" spans="1:3" x14ac:dyDescent="0.25">
      <c r="A29">
        <v>2021</v>
      </c>
      <c r="B29" s="19">
        <v>1.3372115246383931E-3</v>
      </c>
      <c r="C29" s="19">
        <v>1E-3</v>
      </c>
    </row>
    <row r="30" spans="1:3" x14ac:dyDescent="0.25">
      <c r="A30">
        <v>2022</v>
      </c>
      <c r="B30" s="19">
        <v>1.5606305333477177E-2</v>
      </c>
      <c r="C30" s="19">
        <v>2.1857142857142856E-2</v>
      </c>
    </row>
    <row r="31" spans="1:3" x14ac:dyDescent="0.25">
      <c r="A31">
        <v>2023</v>
      </c>
      <c r="B31" s="19">
        <v>7.520377292031033E-2</v>
      </c>
      <c r="C31" s="19">
        <v>3.85E-2</v>
      </c>
    </row>
    <row r="33" spans="3:3" x14ac:dyDescent="0.25">
      <c r="C33" s="1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74"/>
  <sheetViews>
    <sheetView zoomScale="175" zoomScaleNormal="175" workbookViewId="0">
      <pane xSplit="1" ySplit="12" topLeftCell="B20" activePane="bottomRight" state="frozen"/>
      <selection pane="topRight" activeCell="B1" sqref="B1"/>
      <selection pane="bottomLeft" activeCell="A13" sqref="A13"/>
      <selection pane="bottomRight" activeCell="G28" sqref="G28"/>
    </sheetView>
  </sheetViews>
  <sheetFormatPr baseColWidth="10" defaultColWidth="9.140625" defaultRowHeight="15" x14ac:dyDescent="0.25"/>
  <cols>
    <col min="1" max="1" width="14.7109375" customWidth="1"/>
    <col min="2" max="2" width="42.140625" bestFit="1" customWidth="1"/>
    <col min="3" max="3" width="30" customWidth="1"/>
    <col min="5" max="5" width="10.42578125" bestFit="1" customWidth="1"/>
  </cols>
  <sheetData>
    <row r="1" spans="1:3" x14ac:dyDescent="0.25">
      <c r="A1" s="1" t="s">
        <v>19</v>
      </c>
    </row>
    <row r="2" spans="1:3" s="3" customFormat="1" ht="12" customHeight="1" x14ac:dyDescent="0.2">
      <c r="A2" s="2" t="s">
        <v>0</v>
      </c>
      <c r="B2" s="2" t="s">
        <v>14</v>
      </c>
      <c r="C2" s="2" t="s">
        <v>11</v>
      </c>
    </row>
    <row r="3" spans="1:3" s="3" customFormat="1" ht="12" customHeight="1" x14ac:dyDescent="0.2">
      <c r="A3" s="2" t="s">
        <v>1</v>
      </c>
      <c r="B3" s="14" t="s">
        <v>17</v>
      </c>
      <c r="C3" s="2" t="s">
        <v>18</v>
      </c>
    </row>
    <row r="4" spans="1:3" s="3" customFormat="1" ht="12" customHeight="1" x14ac:dyDescent="0.2">
      <c r="A4" s="2" t="s">
        <v>2</v>
      </c>
      <c r="B4" s="2" t="s">
        <v>13</v>
      </c>
      <c r="C4" s="2" t="s">
        <v>13</v>
      </c>
    </row>
    <row r="5" spans="1:3" s="3" customFormat="1" ht="12" customHeight="1" x14ac:dyDescent="0.2">
      <c r="A5" s="2" t="s">
        <v>3</v>
      </c>
      <c r="B5" s="2" t="s">
        <v>15</v>
      </c>
      <c r="C5" s="2" t="s">
        <v>15</v>
      </c>
    </row>
    <row r="6" spans="1:3" s="3" customFormat="1" ht="12" customHeight="1" x14ac:dyDescent="0.2">
      <c r="A6" s="2" t="s">
        <v>4</v>
      </c>
      <c r="B6" s="2" t="s">
        <v>9</v>
      </c>
      <c r="C6" s="2" t="s">
        <v>9</v>
      </c>
    </row>
    <row r="7" spans="1:3" s="3" customFormat="1" ht="12" customHeight="1" x14ac:dyDescent="0.2">
      <c r="A7" s="2"/>
      <c r="B7" s="2"/>
      <c r="C7" s="2"/>
    </row>
    <row r="8" spans="1:3" s="3" customFormat="1" ht="12" customHeight="1" x14ac:dyDescent="0.2">
      <c r="A8" s="2"/>
      <c r="B8" s="2"/>
      <c r="C8" s="2"/>
    </row>
    <row r="9" spans="1:3" s="3" customFormat="1" ht="12" customHeight="1" x14ac:dyDescent="0.2">
      <c r="A9" s="2" t="s">
        <v>5</v>
      </c>
      <c r="B9" s="5" t="s">
        <v>8</v>
      </c>
      <c r="C9" s="5" t="s">
        <v>8</v>
      </c>
    </row>
    <row r="10" spans="1:3" s="3" customFormat="1" ht="12" customHeight="1" x14ac:dyDescent="0.2">
      <c r="A10" s="2" t="s">
        <v>6</v>
      </c>
      <c r="B10" s="13">
        <v>45601</v>
      </c>
      <c r="C10" s="13">
        <v>45601</v>
      </c>
    </row>
    <row r="11" spans="1:3" s="3" customFormat="1" ht="12" customHeight="1" x14ac:dyDescent="0.2">
      <c r="A11" s="2" t="s">
        <v>7</v>
      </c>
      <c r="B11" s="4" t="s">
        <v>10</v>
      </c>
      <c r="C11" s="4" t="s">
        <v>12</v>
      </c>
    </row>
    <row r="12" spans="1:3" s="6" customFormat="1" ht="12" customHeight="1" x14ac:dyDescent="0.2">
      <c r="A12" s="9">
        <v>32896</v>
      </c>
      <c r="B12" s="10" t="s">
        <v>20</v>
      </c>
      <c r="C12" s="8" t="s">
        <v>21</v>
      </c>
    </row>
    <row r="13" spans="1:3" s="6" customFormat="1" ht="12" x14ac:dyDescent="0.2">
      <c r="A13" s="11">
        <v>32919</v>
      </c>
      <c r="B13" s="12">
        <v>-0.5</v>
      </c>
      <c r="C13" s="8" t="s">
        <v>22</v>
      </c>
    </row>
    <row r="14" spans="1:3" s="6" customFormat="1" ht="12" x14ac:dyDescent="0.2">
      <c r="A14" s="11">
        <v>32967</v>
      </c>
      <c r="B14" s="10" t="s">
        <v>23</v>
      </c>
      <c r="C14" s="8" t="s">
        <v>24</v>
      </c>
    </row>
    <row r="15" spans="1:3" s="6" customFormat="1" ht="12" x14ac:dyDescent="0.2">
      <c r="A15" s="11">
        <v>33087</v>
      </c>
      <c r="B15" s="12">
        <v>-1</v>
      </c>
      <c r="C15" s="8">
        <v>14</v>
      </c>
    </row>
    <row r="16" spans="1:3" s="6" customFormat="1" ht="12" x14ac:dyDescent="0.2">
      <c r="A16" s="11">
        <v>33161</v>
      </c>
      <c r="B16" s="10">
        <v>-1</v>
      </c>
      <c r="C16" s="8">
        <v>13</v>
      </c>
    </row>
    <row r="17" spans="1:8" s="6" customFormat="1" ht="12" x14ac:dyDescent="0.2">
      <c r="A17" s="11">
        <v>33225</v>
      </c>
      <c r="B17" s="10">
        <v>-1</v>
      </c>
      <c r="C17" s="8">
        <v>12</v>
      </c>
    </row>
    <row r="18" spans="1:8" s="6" customFormat="1" ht="12" x14ac:dyDescent="0.2">
      <c r="A18" s="11">
        <v>33332</v>
      </c>
      <c r="B18" s="10">
        <v>-0.5</v>
      </c>
      <c r="C18" s="8">
        <v>11.5</v>
      </c>
    </row>
    <row r="19" spans="1:8" s="6" customFormat="1" ht="12" x14ac:dyDescent="0.2">
      <c r="A19" s="11">
        <v>33374</v>
      </c>
      <c r="B19" s="10">
        <v>-1</v>
      </c>
      <c r="C19" s="8">
        <v>10.5</v>
      </c>
    </row>
    <row r="20" spans="1:8" s="6" customFormat="1" ht="12" x14ac:dyDescent="0.2">
      <c r="A20" s="11">
        <v>33484</v>
      </c>
      <c r="B20" s="10">
        <v>-1</v>
      </c>
      <c r="C20" s="8">
        <v>9.5</v>
      </c>
    </row>
    <row r="21" spans="1:8" s="6" customFormat="1" ht="12" x14ac:dyDescent="0.2">
      <c r="A21" s="11">
        <v>33548</v>
      </c>
      <c r="B21" s="10">
        <v>-1</v>
      </c>
      <c r="C21" s="8">
        <v>8.5</v>
      </c>
      <c r="E21" s="6">
        <f t="shared" ref="E21:E28" si="0">A22-A21</f>
        <v>63</v>
      </c>
    </row>
    <row r="22" spans="1:8" s="6" customFormat="1" ht="12" x14ac:dyDescent="0.2">
      <c r="A22" s="11">
        <v>33611</v>
      </c>
      <c r="B22" s="10">
        <v>-1</v>
      </c>
      <c r="C22" s="8">
        <v>7.5</v>
      </c>
      <c r="D22" s="16">
        <f>C22/100</f>
        <v>7.4999999999999997E-2</v>
      </c>
      <c r="E22" s="6">
        <f>A23-A22</f>
        <v>119</v>
      </c>
      <c r="F22" s="16">
        <f>(1+D22)^(E22/365)</f>
        <v>1.0238586879677554</v>
      </c>
      <c r="G22" s="17">
        <f>PRODUCT(F22:F24)-1</f>
        <v>7.677063753552571E-2</v>
      </c>
      <c r="H22" s="16">
        <f>SUM(D22:D24)/3</f>
        <v>6.5833333333333341E-2</v>
      </c>
    </row>
    <row r="23" spans="1:8" s="6" customFormat="1" ht="12" x14ac:dyDescent="0.2">
      <c r="A23" s="11">
        <v>33730</v>
      </c>
      <c r="B23" s="10">
        <v>-1</v>
      </c>
      <c r="C23" s="8">
        <v>6.5</v>
      </c>
      <c r="D23" s="16">
        <f>C23/100</f>
        <v>6.5000000000000002E-2</v>
      </c>
      <c r="E23" s="6">
        <f t="shared" si="0"/>
        <v>63</v>
      </c>
      <c r="F23" s="16">
        <f t="shared" ref="F23:F87" si="1">(1+D23)^(E23/365)</f>
        <v>1.0109289118411426</v>
      </c>
      <c r="G23" s="17"/>
      <c r="H23" s="16"/>
    </row>
    <row r="24" spans="1:8" s="6" customFormat="1" ht="12" x14ac:dyDescent="0.2">
      <c r="A24" s="11">
        <v>33793</v>
      </c>
      <c r="B24" s="10">
        <v>-0.75</v>
      </c>
      <c r="C24" s="8">
        <v>5.75</v>
      </c>
      <c r="D24" s="16">
        <f t="shared" ref="D24:D90" si="2">C24/100</f>
        <v>5.7500000000000002E-2</v>
      </c>
      <c r="E24" s="6">
        <f t="shared" si="0"/>
        <v>258</v>
      </c>
      <c r="F24" s="16">
        <f t="shared" si="1"/>
        <v>1.0403095065628034</v>
      </c>
      <c r="G24" s="17"/>
      <c r="H24" s="16"/>
    </row>
    <row r="25" spans="1:8" s="6" customFormat="1" ht="12" x14ac:dyDescent="0.2">
      <c r="A25" s="11">
        <v>34051</v>
      </c>
      <c r="B25" s="10">
        <v>-0.5</v>
      </c>
      <c r="C25" s="8">
        <v>5.25</v>
      </c>
      <c r="D25" s="16">
        <f t="shared" si="2"/>
        <v>5.2499999999999998E-2</v>
      </c>
      <c r="E25" s="6">
        <f t="shared" si="0"/>
        <v>129</v>
      </c>
      <c r="F25" s="16">
        <f t="shared" si="1"/>
        <v>1.0182486422793748</v>
      </c>
      <c r="G25" s="17">
        <f>PRODUCT(F25:F26)-1</f>
        <v>6.9059233203775161E-2</v>
      </c>
      <c r="H25" s="16">
        <f>SUM(D25:D26)/2</f>
        <v>0.05</v>
      </c>
    </row>
    <row r="26" spans="1:8" s="6" customFormat="1" ht="12" x14ac:dyDescent="0.2">
      <c r="A26" s="11">
        <v>34180</v>
      </c>
      <c r="B26" s="10">
        <v>-0.5</v>
      </c>
      <c r="C26" s="8">
        <v>4.75</v>
      </c>
      <c r="D26" s="16">
        <f t="shared" si="2"/>
        <v>4.7500000000000001E-2</v>
      </c>
      <c r="E26" s="6">
        <f t="shared" si="0"/>
        <v>383</v>
      </c>
      <c r="F26" s="16">
        <f t="shared" si="1"/>
        <v>1.0498999839672356</v>
      </c>
      <c r="G26" s="17"/>
      <c r="H26" s="16"/>
    </row>
    <row r="27" spans="1:8" s="6" customFormat="1" ht="12" x14ac:dyDescent="0.2">
      <c r="A27" s="11">
        <v>34563</v>
      </c>
      <c r="B27" s="10">
        <v>0.75</v>
      </c>
      <c r="C27" s="8">
        <v>5.5</v>
      </c>
      <c r="D27" s="16">
        <f t="shared" si="2"/>
        <v>5.5E-2</v>
      </c>
      <c r="E27" s="6">
        <f t="shared" si="0"/>
        <v>68</v>
      </c>
      <c r="F27" s="16">
        <f t="shared" si="1"/>
        <v>1.0100246315430788</v>
      </c>
      <c r="G27" s="17">
        <f>PRODUCT(F27:F28)-1</f>
        <v>2.2120655742026152E-2</v>
      </c>
      <c r="H27" s="16">
        <f>SUM(D27:D28)/2</f>
        <v>0.06</v>
      </c>
    </row>
    <row r="28" spans="1:8" s="6" customFormat="1" ht="12" x14ac:dyDescent="0.2">
      <c r="A28" s="11">
        <v>34631</v>
      </c>
      <c r="B28" s="10">
        <v>1</v>
      </c>
      <c r="C28" s="8">
        <v>6.5</v>
      </c>
      <c r="D28" s="16">
        <f t="shared" si="2"/>
        <v>6.5000000000000002E-2</v>
      </c>
      <c r="E28" s="6">
        <f t="shared" si="0"/>
        <v>69</v>
      </c>
      <c r="F28" s="16">
        <f t="shared" si="1"/>
        <v>1.0119759695171666</v>
      </c>
      <c r="G28" s="17"/>
      <c r="H28" s="16"/>
    </row>
    <row r="29" spans="1:8" s="6" customFormat="1" ht="12" customHeight="1" x14ac:dyDescent="0.2">
      <c r="A29" s="11">
        <v>34700</v>
      </c>
      <c r="B29" s="10">
        <v>1</v>
      </c>
      <c r="C29" s="8">
        <v>7.5</v>
      </c>
      <c r="D29" s="16">
        <f t="shared" si="2"/>
        <v>7.4999999999999997E-2</v>
      </c>
      <c r="E29" s="6">
        <f>A30-A29</f>
        <v>577</v>
      </c>
      <c r="F29" s="16">
        <f t="shared" si="1"/>
        <v>1.121117647102742</v>
      </c>
      <c r="G29" s="17">
        <f>PRODUCT(F29:F29)-1</f>
        <v>0.12111764710274198</v>
      </c>
      <c r="H29" s="16">
        <f>D29</f>
        <v>7.4999999999999997E-2</v>
      </c>
    </row>
    <row r="30" spans="1:8" s="6" customFormat="1" ht="12" x14ac:dyDescent="0.2">
      <c r="A30" s="11">
        <v>35277</v>
      </c>
      <c r="B30" s="10">
        <v>-0.5</v>
      </c>
      <c r="C30" s="8">
        <v>7</v>
      </c>
      <c r="D30" s="16">
        <f t="shared" si="2"/>
        <v>7.0000000000000007E-2</v>
      </c>
      <c r="E30" s="6">
        <f t="shared" ref="E30:E93" si="3">A31-A30</f>
        <v>98</v>
      </c>
      <c r="F30" s="16">
        <f t="shared" si="1"/>
        <v>1.0183318870407103</v>
      </c>
      <c r="G30" s="17">
        <f>PRODUCT(F30:F32)-1</f>
        <v>5.1508732230007404E-2</v>
      </c>
      <c r="H30" s="16">
        <f>SUM(D30:D32)/3</f>
        <v>6.5000000000000002E-2</v>
      </c>
    </row>
    <row r="31" spans="1:8" s="6" customFormat="1" ht="12" x14ac:dyDescent="0.2">
      <c r="A31" s="11">
        <v>35375</v>
      </c>
      <c r="B31" s="10">
        <v>-0.5</v>
      </c>
      <c r="C31" s="8">
        <v>6.5</v>
      </c>
      <c r="D31" s="16">
        <f t="shared" si="2"/>
        <v>6.5000000000000002E-2</v>
      </c>
      <c r="E31" s="6">
        <f t="shared" si="3"/>
        <v>35</v>
      </c>
      <c r="F31" s="16">
        <f t="shared" si="1"/>
        <v>1.0060569489521163</v>
      </c>
      <c r="G31" s="17"/>
      <c r="H31" s="16"/>
    </row>
    <row r="32" spans="1:8" s="6" customFormat="1" ht="12" x14ac:dyDescent="0.2">
      <c r="A32" s="11">
        <v>35410</v>
      </c>
      <c r="B32" s="10">
        <v>-0.5</v>
      </c>
      <c r="C32" s="8">
        <v>6</v>
      </c>
      <c r="D32" s="16">
        <f t="shared" si="2"/>
        <v>0.06</v>
      </c>
      <c r="E32" s="6">
        <f t="shared" si="3"/>
        <v>163</v>
      </c>
      <c r="F32" s="16">
        <f t="shared" si="1"/>
        <v>1.0263629715238431</v>
      </c>
      <c r="G32" s="17"/>
      <c r="H32" s="16"/>
    </row>
    <row r="33" spans="1:8" s="6" customFormat="1" ht="12" x14ac:dyDescent="0.2">
      <c r="A33" s="11">
        <v>35573</v>
      </c>
      <c r="B33" s="10">
        <v>-0.5</v>
      </c>
      <c r="C33" s="8">
        <v>5.5</v>
      </c>
      <c r="D33" s="16">
        <f t="shared" si="2"/>
        <v>5.5E-2</v>
      </c>
      <c r="E33" s="6">
        <f t="shared" si="3"/>
        <v>68</v>
      </c>
      <c r="F33" s="16">
        <f t="shared" si="1"/>
        <v>1.0100246315430788</v>
      </c>
      <c r="G33" s="17">
        <f>PRODUCT(F33:F34)-1</f>
        <v>7.8395019472575544E-2</v>
      </c>
      <c r="H33" s="16">
        <f>SUM(D33:D34)/2</f>
        <v>5.2500000000000005E-2</v>
      </c>
    </row>
    <row r="34" spans="1:8" s="6" customFormat="1" ht="12" x14ac:dyDescent="0.2">
      <c r="A34" s="11">
        <v>35641</v>
      </c>
      <c r="B34" s="10">
        <v>-0.5</v>
      </c>
      <c r="C34" s="8">
        <v>5</v>
      </c>
      <c r="D34" s="18">
        <f t="shared" si="2"/>
        <v>0.05</v>
      </c>
      <c r="E34" s="6">
        <f t="shared" si="3"/>
        <v>490</v>
      </c>
      <c r="F34" s="18">
        <f t="shared" si="1"/>
        <v>1.0676918025504418</v>
      </c>
      <c r="G34" s="17"/>
      <c r="H34" s="16"/>
    </row>
    <row r="35" spans="1:8" s="6" customFormat="1" ht="12" x14ac:dyDescent="0.2">
      <c r="A35" s="11">
        <v>36131</v>
      </c>
      <c r="B35" s="10">
        <v>-0.25</v>
      </c>
      <c r="C35" s="8">
        <v>4.75</v>
      </c>
      <c r="D35" s="18">
        <f t="shared" si="2"/>
        <v>4.7500000000000001E-2</v>
      </c>
      <c r="E35" s="6">
        <f t="shared" si="3"/>
        <v>336</v>
      </c>
      <c r="F35" s="18">
        <f t="shared" si="1"/>
        <v>1.0436448933586651</v>
      </c>
      <c r="G35" s="17">
        <f>PRODUCT(F35:F35)-1</f>
        <v>4.364489335866506E-2</v>
      </c>
      <c r="H35" s="16">
        <f>SUM(D35:D35)</f>
        <v>4.7500000000000001E-2</v>
      </c>
    </row>
    <row r="36" spans="1:8" s="6" customFormat="1" ht="12" x14ac:dyDescent="0.2">
      <c r="A36" s="11">
        <v>36467</v>
      </c>
      <c r="B36" s="10">
        <v>0.25</v>
      </c>
      <c r="C36" s="8">
        <v>5</v>
      </c>
      <c r="D36" s="18">
        <f t="shared" si="2"/>
        <v>0.05</v>
      </c>
      <c r="E36" s="6">
        <f t="shared" si="3"/>
        <v>91</v>
      </c>
      <c r="F36" s="18">
        <f t="shared" si="1"/>
        <v>1.0122384069610437</v>
      </c>
      <c r="G36" s="17">
        <f>PRODUCT(F36:F36)-1</f>
        <v>1.2238406961043724E-2</v>
      </c>
      <c r="H36" s="16">
        <f t="shared" ref="H36:H37" si="4">SUM(D36:D36)</f>
        <v>0.05</v>
      </c>
    </row>
    <row r="37" spans="1:8" s="6" customFormat="1" ht="12" customHeight="1" x14ac:dyDescent="0.2">
      <c r="A37" s="11">
        <v>36558</v>
      </c>
      <c r="B37" s="10">
        <v>0.5</v>
      </c>
      <c r="C37" s="8">
        <v>5.5</v>
      </c>
      <c r="D37" s="18">
        <f t="shared" si="2"/>
        <v>5.5E-2</v>
      </c>
      <c r="E37" s="6">
        <f t="shared" si="3"/>
        <v>63</v>
      </c>
      <c r="F37" s="18">
        <f t="shared" si="1"/>
        <v>1.0092841155558345</v>
      </c>
      <c r="G37" s="17">
        <f>PRODUCT(F37:F40)-1</f>
        <v>6.1251988082128062E-2</v>
      </c>
      <c r="H37" s="16">
        <f>SUM(D37:D40)/4</f>
        <v>5.8749999999999997E-2</v>
      </c>
    </row>
    <row r="38" spans="1:8" s="6" customFormat="1" ht="12" x14ac:dyDescent="0.2">
      <c r="A38" s="11">
        <v>36621</v>
      </c>
      <c r="B38" s="10">
        <v>0.25</v>
      </c>
      <c r="C38" s="8">
        <v>5.75</v>
      </c>
      <c r="D38" s="18">
        <f t="shared" si="2"/>
        <v>5.7500000000000002E-2</v>
      </c>
      <c r="E38" s="6">
        <f t="shared" si="3"/>
        <v>28</v>
      </c>
      <c r="F38" s="18">
        <f t="shared" si="1"/>
        <v>1.0042980147265139</v>
      </c>
      <c r="G38" s="17"/>
      <c r="H38" s="16"/>
    </row>
    <row r="39" spans="1:8" s="6" customFormat="1" ht="12" x14ac:dyDescent="0.2">
      <c r="A39" s="11">
        <v>36649</v>
      </c>
      <c r="B39" s="10">
        <v>0.25</v>
      </c>
      <c r="C39" s="8">
        <v>6</v>
      </c>
      <c r="D39" s="18">
        <f t="shared" si="2"/>
        <v>0.06</v>
      </c>
      <c r="E39" s="6">
        <f t="shared" si="3"/>
        <v>91</v>
      </c>
      <c r="F39" s="18">
        <f t="shared" si="1"/>
        <v>1.0146333511294061</v>
      </c>
      <c r="G39" s="17"/>
      <c r="H39" s="16"/>
    </row>
    <row r="40" spans="1:8" s="6" customFormat="1" ht="12" x14ac:dyDescent="0.2">
      <c r="A40" s="11">
        <v>36740</v>
      </c>
      <c r="B40" s="10">
        <v>0.25</v>
      </c>
      <c r="C40" s="8">
        <v>6.25</v>
      </c>
      <c r="D40" s="18">
        <f t="shared" si="2"/>
        <v>6.25E-2</v>
      </c>
      <c r="E40" s="6">
        <f t="shared" si="3"/>
        <v>189</v>
      </c>
      <c r="F40" s="18">
        <f t="shared" si="1"/>
        <v>1.0318898506133527</v>
      </c>
      <c r="G40" s="17"/>
      <c r="H40" s="16"/>
    </row>
    <row r="41" spans="1:8" s="6" customFormat="1" ht="12" x14ac:dyDescent="0.2">
      <c r="A41" s="11">
        <v>36929</v>
      </c>
      <c r="B41" s="10">
        <v>-0.5</v>
      </c>
      <c r="C41" s="8">
        <v>5.75</v>
      </c>
      <c r="D41" s="18">
        <f t="shared" si="2"/>
        <v>5.7500000000000002E-2</v>
      </c>
      <c r="E41" s="6">
        <f t="shared" si="3"/>
        <v>28</v>
      </c>
      <c r="F41" s="18">
        <f t="shared" si="1"/>
        <v>1.0042980147265139</v>
      </c>
      <c r="G41" s="17">
        <f>PRODUCT(F41:F46)-1</f>
        <v>5.939689835987072E-2</v>
      </c>
      <c r="H41" s="16">
        <f>SUM(D41:D46)/6</f>
        <v>4.9583333333333333E-2</v>
      </c>
    </row>
    <row r="42" spans="1:8" s="6" customFormat="1" ht="12" x14ac:dyDescent="0.2">
      <c r="A42" s="11">
        <v>36957</v>
      </c>
      <c r="B42" s="10">
        <v>-0.25</v>
      </c>
      <c r="C42" s="8">
        <v>5.5</v>
      </c>
      <c r="D42" s="18">
        <f t="shared" si="2"/>
        <v>5.5E-2</v>
      </c>
      <c r="E42" s="6">
        <f t="shared" si="3"/>
        <v>28</v>
      </c>
      <c r="F42" s="18">
        <f t="shared" si="1"/>
        <v>1.0041156831721991</v>
      </c>
      <c r="G42" s="17"/>
      <c r="H42" s="16"/>
    </row>
    <row r="43" spans="1:8" s="6" customFormat="1" ht="12" x14ac:dyDescent="0.2">
      <c r="A43" s="11">
        <v>36985</v>
      </c>
      <c r="B43" s="10">
        <v>-0.5</v>
      </c>
      <c r="C43" s="8">
        <v>5</v>
      </c>
      <c r="D43" s="18">
        <f t="shared" si="2"/>
        <v>0.05</v>
      </c>
      <c r="E43" s="6">
        <f t="shared" si="3"/>
        <v>154</v>
      </c>
      <c r="F43" s="18">
        <f t="shared" si="1"/>
        <v>1.0207987806761896</v>
      </c>
      <c r="G43" s="17"/>
      <c r="H43" s="16"/>
    </row>
    <row r="44" spans="1:8" s="6" customFormat="1" ht="12" x14ac:dyDescent="0.2">
      <c r="A44" s="11">
        <v>37139</v>
      </c>
      <c r="B44" s="10">
        <v>-0.25</v>
      </c>
      <c r="C44" s="8">
        <v>4.75</v>
      </c>
      <c r="D44" s="18">
        <f t="shared" si="2"/>
        <v>4.7500000000000001E-2</v>
      </c>
      <c r="E44" s="6">
        <f t="shared" si="3"/>
        <v>28</v>
      </c>
      <c r="F44" s="18">
        <f t="shared" si="1"/>
        <v>1.0035662850439073</v>
      </c>
      <c r="G44" s="17"/>
      <c r="H44" s="16"/>
    </row>
    <row r="45" spans="1:8" s="6" customFormat="1" ht="12" x14ac:dyDescent="0.2">
      <c r="A45" s="11">
        <v>37167</v>
      </c>
      <c r="B45" s="10">
        <v>-0.25</v>
      </c>
      <c r="C45" s="8">
        <v>4.5</v>
      </c>
      <c r="D45" s="18">
        <f t="shared" si="2"/>
        <v>4.4999999999999998E-2</v>
      </c>
      <c r="E45" s="6">
        <f t="shared" si="3"/>
        <v>63</v>
      </c>
      <c r="F45" s="18">
        <f t="shared" si="1"/>
        <v>1.0076263687542093</v>
      </c>
      <c r="G45" s="17"/>
      <c r="H45" s="16"/>
    </row>
    <row r="46" spans="1:8" s="6" customFormat="1" ht="12" x14ac:dyDescent="0.2">
      <c r="A46" s="11">
        <v>37230</v>
      </c>
      <c r="B46" s="10">
        <v>-0.25</v>
      </c>
      <c r="C46" s="8">
        <v>4.25</v>
      </c>
      <c r="D46" s="18">
        <f t="shared" si="2"/>
        <v>4.2500000000000003E-2</v>
      </c>
      <c r="E46" s="6">
        <f t="shared" si="3"/>
        <v>154</v>
      </c>
      <c r="F46" s="18">
        <f t="shared" si="1"/>
        <v>1.0177160253842179</v>
      </c>
      <c r="G46" s="17"/>
      <c r="H46" s="16"/>
    </row>
    <row r="47" spans="1:8" s="6" customFormat="1" ht="12" x14ac:dyDescent="0.2">
      <c r="A47" s="11">
        <v>37384</v>
      </c>
      <c r="B47" s="10">
        <v>0.25</v>
      </c>
      <c r="C47" s="8">
        <v>4.5</v>
      </c>
      <c r="D47" s="18">
        <f t="shared" si="2"/>
        <v>4.4999999999999998E-2</v>
      </c>
      <c r="E47" s="6">
        <f t="shared" si="3"/>
        <v>28</v>
      </c>
      <c r="F47" s="18">
        <f t="shared" si="1"/>
        <v>1.0033823450487422</v>
      </c>
      <c r="G47" s="17">
        <f t="shared" ref="G47:G74" si="5">PRODUCT(F47:F48)-1</f>
        <v>7.1688610269182718E-2</v>
      </c>
      <c r="H47" s="16">
        <f>SUM(D47:D48)/2</f>
        <v>4.6249999999999999E-2</v>
      </c>
    </row>
    <row r="48" spans="1:8" s="6" customFormat="1" ht="12" x14ac:dyDescent="0.2">
      <c r="A48" s="11">
        <v>37412</v>
      </c>
      <c r="B48" s="10">
        <v>0.25</v>
      </c>
      <c r="C48" s="8">
        <v>4.75</v>
      </c>
      <c r="D48" s="18">
        <f t="shared" si="2"/>
        <v>4.7500000000000001E-2</v>
      </c>
      <c r="E48" s="6">
        <f t="shared" si="3"/>
        <v>518</v>
      </c>
      <c r="F48" s="18">
        <f t="shared" si="1"/>
        <v>1.0680760086695789</v>
      </c>
      <c r="G48" s="17"/>
      <c r="H48" s="16"/>
    </row>
    <row r="49" spans="1:8" s="6" customFormat="1" ht="12" x14ac:dyDescent="0.2">
      <c r="A49" s="11">
        <v>37930</v>
      </c>
      <c r="B49" s="10">
        <v>0.25</v>
      </c>
      <c r="C49" s="8">
        <v>5</v>
      </c>
      <c r="D49" s="18">
        <f t="shared" si="2"/>
        <v>0.05</v>
      </c>
      <c r="E49" s="6">
        <f t="shared" si="3"/>
        <v>57</v>
      </c>
      <c r="F49" s="18">
        <f t="shared" si="1"/>
        <v>1.0076483865319885</v>
      </c>
      <c r="G49" s="17">
        <f t="shared" si="5"/>
        <v>6.965801449209863E-2</v>
      </c>
      <c r="H49" s="16">
        <f>SUM(D49:D49)</f>
        <v>0.05</v>
      </c>
    </row>
    <row r="50" spans="1:8" s="6" customFormat="1" ht="12" x14ac:dyDescent="0.2">
      <c r="A50" s="11">
        <v>37987</v>
      </c>
      <c r="B50" s="10">
        <v>0.25</v>
      </c>
      <c r="C50" s="8">
        <v>5.25</v>
      </c>
      <c r="D50" s="18">
        <f t="shared" si="2"/>
        <v>5.2499999999999998E-2</v>
      </c>
      <c r="E50" s="6">
        <f t="shared" si="3"/>
        <v>426</v>
      </c>
      <c r="F50" s="18">
        <f t="shared" si="1"/>
        <v>1.0615389542512224</v>
      </c>
      <c r="G50" s="17">
        <f>D50</f>
        <v>5.2499999999999998E-2</v>
      </c>
      <c r="H50" s="16">
        <f t="shared" ref="H50:H52" si="6">SUM(D50:D50)</f>
        <v>5.2499999999999998E-2</v>
      </c>
    </row>
    <row r="51" spans="1:8" s="6" customFormat="1" ht="12" x14ac:dyDescent="0.2">
      <c r="A51" s="11">
        <v>38413</v>
      </c>
      <c r="B51" s="10">
        <v>0.25</v>
      </c>
      <c r="C51" s="8">
        <v>5.5</v>
      </c>
      <c r="D51" s="18">
        <f t="shared" si="2"/>
        <v>5.5E-2</v>
      </c>
      <c r="E51" s="6">
        <f t="shared" si="3"/>
        <v>427</v>
      </c>
      <c r="F51" s="18">
        <f t="shared" si="1"/>
        <v>1.0646385617853813</v>
      </c>
      <c r="G51" s="17">
        <f>PRODUCT(F51)-1</f>
        <v>6.4638561785381299E-2</v>
      </c>
      <c r="H51" s="16">
        <f t="shared" si="6"/>
        <v>5.5E-2</v>
      </c>
    </row>
    <row r="52" spans="1:8" s="6" customFormat="1" ht="12" x14ac:dyDescent="0.2">
      <c r="A52" s="11">
        <v>38840</v>
      </c>
      <c r="B52" s="10">
        <v>0.25</v>
      </c>
      <c r="C52" s="8">
        <v>5.75</v>
      </c>
      <c r="D52" s="18">
        <f t="shared" si="2"/>
        <v>5.7500000000000002E-2</v>
      </c>
      <c r="E52" s="6">
        <f t="shared" si="3"/>
        <v>91</v>
      </c>
      <c r="F52" s="18">
        <f t="shared" si="1"/>
        <v>1.0140362105023659</v>
      </c>
      <c r="G52" s="17">
        <f>PRODUCT(F52:F54)-1</f>
        <v>7.7805805606365297E-2</v>
      </c>
      <c r="H52" s="16">
        <f>SUM(D52:D54)/3</f>
        <v>0.06</v>
      </c>
    </row>
    <row r="53" spans="1:8" s="6" customFormat="1" ht="12" x14ac:dyDescent="0.2">
      <c r="A53" s="11">
        <v>38931</v>
      </c>
      <c r="B53" s="10">
        <v>0.25</v>
      </c>
      <c r="C53" s="8">
        <v>6</v>
      </c>
      <c r="D53" s="18">
        <f t="shared" si="2"/>
        <v>0.06</v>
      </c>
      <c r="E53" s="6">
        <f t="shared" si="3"/>
        <v>98</v>
      </c>
      <c r="F53" s="18">
        <f t="shared" si="1"/>
        <v>1.0157678233626342</v>
      </c>
      <c r="G53" s="17"/>
      <c r="H53" s="16"/>
    </row>
    <row r="54" spans="1:8" s="6" customFormat="1" ht="12" x14ac:dyDescent="0.2">
      <c r="A54" s="11">
        <v>39029</v>
      </c>
      <c r="B54" s="10">
        <v>0.25</v>
      </c>
      <c r="C54" s="8">
        <v>6.25</v>
      </c>
      <c r="D54" s="18">
        <f t="shared" si="2"/>
        <v>6.25E-2</v>
      </c>
      <c r="E54" s="6">
        <f t="shared" si="3"/>
        <v>273</v>
      </c>
      <c r="F54" s="18">
        <f t="shared" si="1"/>
        <v>1.0463876457521781</v>
      </c>
      <c r="G54" s="17"/>
      <c r="H54" s="16"/>
    </row>
    <row r="55" spans="1:8" s="6" customFormat="1" ht="12.75" customHeight="1" x14ac:dyDescent="0.2">
      <c r="A55" s="11">
        <v>39302</v>
      </c>
      <c r="B55" s="10">
        <v>0.25</v>
      </c>
      <c r="C55" s="8">
        <v>6.5</v>
      </c>
      <c r="D55" s="18">
        <f t="shared" si="2"/>
        <v>6.5000000000000002E-2</v>
      </c>
      <c r="E55" s="6">
        <f t="shared" si="3"/>
        <v>91</v>
      </c>
      <c r="F55" s="18">
        <f t="shared" si="1"/>
        <v>1.0158244678502373</v>
      </c>
      <c r="G55" s="17">
        <f t="shared" si="5"/>
        <v>3.2502733736334166E-2</v>
      </c>
      <c r="H55" s="16">
        <f>SUM(D55:D56)/2</f>
        <v>6.6250000000000003E-2</v>
      </c>
    </row>
    <row r="56" spans="1:8" s="6" customFormat="1" ht="12" x14ac:dyDescent="0.2">
      <c r="A56" s="11">
        <v>39393</v>
      </c>
      <c r="B56" s="10">
        <v>0.25</v>
      </c>
      <c r="C56" s="8">
        <v>6.75</v>
      </c>
      <c r="D56" s="18">
        <f t="shared" si="2"/>
        <v>6.7500000000000004E-2</v>
      </c>
      <c r="E56" s="6">
        <f t="shared" si="3"/>
        <v>91</v>
      </c>
      <c r="F56" s="18">
        <f t="shared" si="1"/>
        <v>1.0164184526106097</v>
      </c>
      <c r="G56" s="17"/>
      <c r="H56" s="16"/>
    </row>
    <row r="57" spans="1:8" s="6" customFormat="1" ht="12" x14ac:dyDescent="0.2">
      <c r="A57" s="11">
        <v>39484</v>
      </c>
      <c r="B57" s="10">
        <v>0.25</v>
      </c>
      <c r="C57" s="8">
        <v>7</v>
      </c>
      <c r="D57" s="18">
        <f t="shared" si="2"/>
        <v>7.0000000000000007E-2</v>
      </c>
      <c r="E57" s="6">
        <f t="shared" si="3"/>
        <v>28</v>
      </c>
      <c r="F57" s="18">
        <f t="shared" si="1"/>
        <v>1.0052037451794908</v>
      </c>
      <c r="G57" s="17">
        <f>PRODUCT(F57:F62)-1</f>
        <v>6.4130007743544493E-2</v>
      </c>
      <c r="H57" s="16">
        <f>SUM(D57:D62)/6</f>
        <v>6.1249999999999999E-2</v>
      </c>
    </row>
    <row r="58" spans="1:8" s="6" customFormat="1" ht="12" x14ac:dyDescent="0.2">
      <c r="A58" s="11">
        <v>39512</v>
      </c>
      <c r="B58" s="10">
        <v>0.25</v>
      </c>
      <c r="C58" s="8">
        <v>7.25</v>
      </c>
      <c r="D58" s="18">
        <f t="shared" si="2"/>
        <v>7.2499999999999995E-2</v>
      </c>
      <c r="E58" s="6">
        <f t="shared" si="3"/>
        <v>182</v>
      </c>
      <c r="F58" s="18">
        <f t="shared" si="1"/>
        <v>1.0355164688214555</v>
      </c>
      <c r="G58" s="17"/>
      <c r="H58" s="16"/>
    </row>
    <row r="59" spans="1:8" s="6" customFormat="1" ht="12" x14ac:dyDescent="0.2">
      <c r="A59" s="11">
        <v>39694</v>
      </c>
      <c r="B59" s="10">
        <v>-0.25</v>
      </c>
      <c r="C59" s="8">
        <v>7</v>
      </c>
      <c r="D59" s="18">
        <f t="shared" si="2"/>
        <v>7.0000000000000007E-2</v>
      </c>
      <c r="E59" s="6">
        <f t="shared" si="3"/>
        <v>35</v>
      </c>
      <c r="F59" s="18">
        <f t="shared" si="1"/>
        <v>1.0065089070705915</v>
      </c>
      <c r="G59" s="17"/>
      <c r="H59" s="16"/>
    </row>
    <row r="60" spans="1:8" s="6" customFormat="1" ht="12" x14ac:dyDescent="0.2">
      <c r="A60" s="11">
        <v>39729</v>
      </c>
      <c r="B60" s="10">
        <v>-1</v>
      </c>
      <c r="C60" s="8">
        <v>6</v>
      </c>
      <c r="D60" s="18">
        <f t="shared" si="2"/>
        <v>0.06</v>
      </c>
      <c r="E60" s="6">
        <f t="shared" si="3"/>
        <v>28</v>
      </c>
      <c r="F60" s="18">
        <f t="shared" si="1"/>
        <v>1.0044799487368226</v>
      </c>
      <c r="G60" s="17"/>
      <c r="H60" s="16"/>
    </row>
    <row r="61" spans="1:8" s="6" customFormat="1" ht="12" x14ac:dyDescent="0.2">
      <c r="A61" s="11">
        <v>39757</v>
      </c>
      <c r="B61" s="10">
        <v>-0.75</v>
      </c>
      <c r="C61" s="8">
        <v>5.25</v>
      </c>
      <c r="D61" s="18">
        <f t="shared" si="2"/>
        <v>5.2499999999999998E-2</v>
      </c>
      <c r="E61" s="6">
        <f t="shared" si="3"/>
        <v>28</v>
      </c>
      <c r="F61" s="18">
        <f t="shared" si="1"/>
        <v>1.0039329522600631</v>
      </c>
      <c r="G61" s="17"/>
      <c r="H61" s="16"/>
    </row>
    <row r="62" spans="1:8" s="6" customFormat="1" ht="12" x14ac:dyDescent="0.2">
      <c r="A62" s="11">
        <v>39785</v>
      </c>
      <c r="B62" s="10">
        <v>-1</v>
      </c>
      <c r="C62" s="8">
        <v>4.25</v>
      </c>
      <c r="D62" s="18">
        <f t="shared" si="2"/>
        <v>4.2500000000000003E-2</v>
      </c>
      <c r="E62" s="6">
        <f t="shared" si="3"/>
        <v>63</v>
      </c>
      <c r="F62" s="18">
        <f t="shared" si="1"/>
        <v>1.0072098820257149</v>
      </c>
      <c r="G62" s="17"/>
      <c r="H62" s="16"/>
    </row>
    <row r="63" spans="1:8" s="6" customFormat="1" ht="12" x14ac:dyDescent="0.2">
      <c r="A63" s="11">
        <v>39848</v>
      </c>
      <c r="B63" s="10">
        <v>-1</v>
      </c>
      <c r="C63" s="8">
        <v>3.25</v>
      </c>
      <c r="D63" s="18">
        <f t="shared" si="2"/>
        <v>3.2500000000000001E-2</v>
      </c>
      <c r="E63" s="6">
        <f t="shared" si="3"/>
        <v>63</v>
      </c>
      <c r="F63" s="18">
        <f t="shared" si="1"/>
        <v>1.0055356266106878</v>
      </c>
      <c r="G63" s="17">
        <f>PRODUCT(F63:F67)-1</f>
        <v>3.51331405589137E-2</v>
      </c>
      <c r="H63" s="16">
        <f>SUM(D63:D67)/5</f>
        <v>3.3500000000000002E-2</v>
      </c>
    </row>
    <row r="64" spans="1:8" s="6" customFormat="1" ht="12" x14ac:dyDescent="0.2">
      <c r="A64" s="11">
        <v>39911</v>
      </c>
      <c r="B64" s="10">
        <v>-0.25</v>
      </c>
      <c r="C64" s="8">
        <v>3</v>
      </c>
      <c r="D64" s="18">
        <f t="shared" si="2"/>
        <v>0.03</v>
      </c>
      <c r="E64" s="6">
        <f t="shared" si="3"/>
        <v>182</v>
      </c>
      <c r="F64" s="18">
        <f t="shared" si="1"/>
        <v>1.0148480629468493</v>
      </c>
      <c r="G64" s="17"/>
      <c r="H64" s="16"/>
    </row>
    <row r="65" spans="1:8" s="6" customFormat="1" ht="12" x14ac:dyDescent="0.2">
      <c r="A65" s="11">
        <v>40093</v>
      </c>
      <c r="B65" s="10">
        <v>0.25</v>
      </c>
      <c r="C65" s="8">
        <v>3.25</v>
      </c>
      <c r="D65" s="18">
        <f t="shared" si="2"/>
        <v>3.2500000000000001E-2</v>
      </c>
      <c r="E65" s="6">
        <f t="shared" si="3"/>
        <v>28</v>
      </c>
      <c r="F65" s="18">
        <f t="shared" si="1"/>
        <v>1.0024565062077142</v>
      </c>
      <c r="G65" s="17"/>
      <c r="H65" s="16"/>
    </row>
    <row r="66" spans="1:8" s="6" customFormat="1" ht="12" x14ac:dyDescent="0.2">
      <c r="A66" s="11">
        <v>40121</v>
      </c>
      <c r="B66" s="10">
        <v>0.25</v>
      </c>
      <c r="C66" s="8">
        <v>3.5</v>
      </c>
      <c r="D66" s="18">
        <f t="shared" si="2"/>
        <v>3.5000000000000003E-2</v>
      </c>
      <c r="E66" s="6">
        <f t="shared" si="3"/>
        <v>28</v>
      </c>
      <c r="F66" s="18">
        <f t="shared" si="1"/>
        <v>1.0026424988178833</v>
      </c>
      <c r="G66" s="17"/>
      <c r="H66" s="16"/>
    </row>
    <row r="67" spans="1:8" s="6" customFormat="1" ht="12" x14ac:dyDescent="0.2">
      <c r="A67" s="11">
        <v>40149</v>
      </c>
      <c r="B67" s="10">
        <v>0.25</v>
      </c>
      <c r="C67" s="8">
        <v>3.75</v>
      </c>
      <c r="D67" s="18">
        <f t="shared" si="2"/>
        <v>3.7499999999999999E-2</v>
      </c>
      <c r="E67" s="6">
        <f t="shared" si="3"/>
        <v>91</v>
      </c>
      <c r="F67" s="18">
        <f t="shared" si="1"/>
        <v>1.0092205277867026</v>
      </c>
      <c r="G67" s="17"/>
      <c r="H67" s="16"/>
    </row>
    <row r="68" spans="1:8" s="6" customFormat="1" ht="17.25" customHeight="1" x14ac:dyDescent="0.2">
      <c r="A68" s="11">
        <v>40240</v>
      </c>
      <c r="B68" s="10">
        <v>0.25</v>
      </c>
      <c r="C68" s="8">
        <v>4</v>
      </c>
      <c r="D68" s="18">
        <f t="shared" si="2"/>
        <v>0.04</v>
      </c>
      <c r="E68" s="6">
        <f t="shared" si="3"/>
        <v>35</v>
      </c>
      <c r="F68" s="18">
        <f t="shared" si="1"/>
        <v>1.0037679713245022</v>
      </c>
      <c r="G68" s="17">
        <f>PRODUCT(F68:F71)-1</f>
        <v>7.8079441911371283E-2</v>
      </c>
      <c r="H68" s="16">
        <f>SUM(D68:D71)/4</f>
        <v>4.3749999999999997E-2</v>
      </c>
    </row>
    <row r="69" spans="1:8" s="6" customFormat="1" ht="12" x14ac:dyDescent="0.2">
      <c r="A69" s="11">
        <v>40275</v>
      </c>
      <c r="B69" s="10">
        <v>0.25</v>
      </c>
      <c r="C69" s="8">
        <v>4.25</v>
      </c>
      <c r="D69" s="18">
        <f t="shared" si="2"/>
        <v>4.2500000000000003E-2</v>
      </c>
      <c r="E69" s="6">
        <f t="shared" si="3"/>
        <v>28</v>
      </c>
      <c r="F69" s="18">
        <f t="shared" si="1"/>
        <v>1.003197998313226</v>
      </c>
      <c r="G69" s="17"/>
      <c r="H69" s="16"/>
    </row>
    <row r="70" spans="1:8" s="6" customFormat="1" ht="12" x14ac:dyDescent="0.2">
      <c r="A70" s="11">
        <v>40303</v>
      </c>
      <c r="B70" s="10">
        <v>0.25</v>
      </c>
      <c r="C70" s="8">
        <v>4.5</v>
      </c>
      <c r="D70" s="18">
        <f t="shared" si="2"/>
        <v>4.4999999999999998E-2</v>
      </c>
      <c r="E70" s="6">
        <f t="shared" si="3"/>
        <v>182</v>
      </c>
      <c r="F70" s="18">
        <f t="shared" si="1"/>
        <v>1.0221907780118511</v>
      </c>
      <c r="G70" s="17"/>
      <c r="H70" s="16"/>
    </row>
    <row r="71" spans="1:8" s="6" customFormat="1" ht="12" x14ac:dyDescent="0.2">
      <c r="A71" s="11">
        <v>40485</v>
      </c>
      <c r="B71" s="10">
        <v>0.25</v>
      </c>
      <c r="C71" s="8">
        <v>4.75</v>
      </c>
      <c r="D71" s="18">
        <f t="shared" si="2"/>
        <v>4.7500000000000001E-2</v>
      </c>
      <c r="E71" s="6">
        <f t="shared" si="3"/>
        <v>364</v>
      </c>
      <c r="F71" s="18">
        <f t="shared" si="1"/>
        <v>1.0473668285330002</v>
      </c>
      <c r="G71" s="17"/>
      <c r="H71" s="16"/>
    </row>
    <row r="72" spans="1:8" s="6" customFormat="1" ht="12" x14ac:dyDescent="0.2">
      <c r="A72" s="11">
        <v>40849</v>
      </c>
      <c r="B72" s="10">
        <v>-0.25</v>
      </c>
      <c r="C72" s="8">
        <v>4.5</v>
      </c>
      <c r="D72" s="18">
        <f t="shared" si="2"/>
        <v>4.4999999999999998E-2</v>
      </c>
      <c r="E72" s="6">
        <f t="shared" si="3"/>
        <v>35</v>
      </c>
      <c r="F72" s="18">
        <f t="shared" si="1"/>
        <v>1.0042297173419579</v>
      </c>
      <c r="G72" s="17">
        <f t="shared" si="5"/>
        <v>2.1205200686995385E-2</v>
      </c>
      <c r="H72" s="16">
        <f>SUM(D72:D73)/2</f>
        <v>4.3749999999999997E-2</v>
      </c>
    </row>
    <row r="73" spans="1:8" s="6" customFormat="1" ht="12" x14ac:dyDescent="0.2">
      <c r="A73" s="11">
        <v>40884</v>
      </c>
      <c r="B73" s="10">
        <v>-0.25</v>
      </c>
      <c r="C73" s="8">
        <v>4.25</v>
      </c>
      <c r="D73" s="18">
        <f t="shared" si="2"/>
        <v>4.2500000000000003E-2</v>
      </c>
      <c r="E73" s="6">
        <f t="shared" si="3"/>
        <v>147</v>
      </c>
      <c r="F73" s="18">
        <f t="shared" si="1"/>
        <v>1.0169039842696241</v>
      </c>
      <c r="G73" s="17"/>
      <c r="H73" s="16"/>
    </row>
    <row r="74" spans="1:8" s="6" customFormat="1" ht="12" x14ac:dyDescent="0.2">
      <c r="A74" s="11">
        <v>41031</v>
      </c>
      <c r="B74" s="10">
        <v>-0.5</v>
      </c>
      <c r="C74" s="8">
        <v>3.75</v>
      </c>
      <c r="D74" s="18">
        <f t="shared" si="2"/>
        <v>3.7499999999999999E-2</v>
      </c>
      <c r="E74" s="6">
        <f t="shared" si="3"/>
        <v>35</v>
      </c>
      <c r="F74" s="18">
        <f t="shared" si="1"/>
        <v>1.0035363451778292</v>
      </c>
      <c r="G74" s="17">
        <f t="shared" si="5"/>
        <v>1.4855171998268357E-2</v>
      </c>
      <c r="H74" s="16">
        <f>SUM(D74:D77)/4</f>
        <v>3.3750000000000002E-2</v>
      </c>
    </row>
    <row r="75" spans="1:8" s="6" customFormat="1" ht="12" x14ac:dyDescent="0.2">
      <c r="A75" s="11">
        <v>41066</v>
      </c>
      <c r="B75" s="10">
        <v>-0.25</v>
      </c>
      <c r="C75" s="8">
        <v>3.5</v>
      </c>
      <c r="D75" s="18">
        <f t="shared" si="2"/>
        <v>3.5000000000000003E-2</v>
      </c>
      <c r="E75" s="6">
        <f t="shared" si="3"/>
        <v>119</v>
      </c>
      <c r="F75" s="18">
        <f t="shared" si="1"/>
        <v>1.0112789405932612</v>
      </c>
      <c r="G75" s="17"/>
      <c r="H75" s="16"/>
    </row>
    <row r="76" spans="1:8" s="6" customFormat="1" ht="12" x14ac:dyDescent="0.2">
      <c r="A76" s="11">
        <v>41185</v>
      </c>
      <c r="B76" s="10">
        <v>-0.25</v>
      </c>
      <c r="C76" s="8">
        <v>3.25</v>
      </c>
      <c r="D76" s="18">
        <f t="shared" si="2"/>
        <v>3.2500000000000001E-2</v>
      </c>
      <c r="E76" s="6">
        <f t="shared" si="3"/>
        <v>63</v>
      </c>
      <c r="F76" s="18">
        <f t="shared" si="1"/>
        <v>1.0055356266106878</v>
      </c>
      <c r="G76" s="17"/>
      <c r="H76" s="16"/>
    </row>
    <row r="77" spans="1:8" s="6" customFormat="1" ht="12" x14ac:dyDescent="0.2">
      <c r="A77" s="11">
        <v>41248</v>
      </c>
      <c r="B77" s="10">
        <v>-0.25</v>
      </c>
      <c r="C77" s="8">
        <v>3</v>
      </c>
      <c r="D77" s="18">
        <f t="shared" si="2"/>
        <v>0.03</v>
      </c>
      <c r="E77" s="6">
        <f t="shared" si="3"/>
        <v>154</v>
      </c>
      <c r="F77" s="18">
        <f t="shared" si="1"/>
        <v>1.0125494770788295</v>
      </c>
      <c r="G77" s="17"/>
      <c r="H77" s="16"/>
    </row>
    <row r="78" spans="1:8" s="6" customFormat="1" ht="12" x14ac:dyDescent="0.2">
      <c r="A78" s="11">
        <v>41402</v>
      </c>
      <c r="B78" s="10">
        <v>-0.25</v>
      </c>
      <c r="C78" s="8">
        <v>2.75</v>
      </c>
      <c r="D78" s="18">
        <f t="shared" si="2"/>
        <v>2.75E-2</v>
      </c>
      <c r="E78" s="6">
        <f t="shared" si="3"/>
        <v>91</v>
      </c>
      <c r="F78" s="18">
        <f t="shared" si="1"/>
        <v>1.0067865102681444</v>
      </c>
      <c r="G78" s="17">
        <f>PRODUCT(F78:F79)-1</f>
        <v>1.6848645591915234E-2</v>
      </c>
      <c r="H78" s="16">
        <f>SUM(D78:D79)/2</f>
        <v>2.6250000000000002E-2</v>
      </c>
    </row>
    <row r="79" spans="1:8" s="6" customFormat="1" ht="12" x14ac:dyDescent="0.2">
      <c r="A79" s="11">
        <v>41493</v>
      </c>
      <c r="B79" s="10">
        <v>-0.25</v>
      </c>
      <c r="C79" s="8">
        <v>2.5</v>
      </c>
      <c r="D79" s="18">
        <f t="shared" si="2"/>
        <v>2.5000000000000001E-2</v>
      </c>
      <c r="E79" s="6">
        <f t="shared" si="3"/>
        <v>147</v>
      </c>
      <c r="F79" s="18">
        <f t="shared" si="1"/>
        <v>1.009994308844177</v>
      </c>
      <c r="G79" s="17"/>
      <c r="H79" s="16"/>
    </row>
    <row r="80" spans="1:8" s="6" customFormat="1" ht="12" x14ac:dyDescent="0.2">
      <c r="A80" s="11">
        <v>41640</v>
      </c>
      <c r="B80" s="10">
        <v>0</v>
      </c>
      <c r="C80" s="8">
        <v>2.5</v>
      </c>
      <c r="D80" s="18">
        <f t="shared" si="2"/>
        <v>2.5000000000000001E-2</v>
      </c>
      <c r="E80" s="6">
        <f t="shared" si="3"/>
        <v>399</v>
      </c>
      <c r="F80" s="18">
        <f t="shared" si="1"/>
        <v>1.0273603506404028</v>
      </c>
      <c r="G80" s="17">
        <f>PRODUCT(F80:F80)-1</f>
        <v>2.7360350640402764E-2</v>
      </c>
      <c r="H80" s="16">
        <f>SUM(D80:D80)</f>
        <v>2.5000000000000001E-2</v>
      </c>
    </row>
    <row r="81" spans="1:8" s="6" customFormat="1" ht="12" x14ac:dyDescent="0.2">
      <c r="A81" s="11">
        <v>42039</v>
      </c>
      <c r="B81" s="10">
        <v>-0.25</v>
      </c>
      <c r="C81" s="8">
        <v>2.25</v>
      </c>
      <c r="D81" s="18">
        <f t="shared" si="2"/>
        <v>2.2499999999999999E-2</v>
      </c>
      <c r="E81" s="6">
        <f t="shared" si="3"/>
        <v>91</v>
      </c>
      <c r="F81" s="18">
        <f t="shared" si="1"/>
        <v>1.0055628274730277</v>
      </c>
      <c r="G81" s="17">
        <f>PRODUCT(F81:F82)-1</f>
        <v>2.5618438842631042E-2</v>
      </c>
      <c r="H81" s="16">
        <f>SUM(D81:D82)/2</f>
        <v>2.1249999999999998E-2</v>
      </c>
    </row>
    <row r="82" spans="1:8" s="6" customFormat="1" ht="12" x14ac:dyDescent="0.2">
      <c r="A82" s="11">
        <v>42130</v>
      </c>
      <c r="B82" s="10">
        <v>-0.25</v>
      </c>
      <c r="C82" s="8">
        <v>2</v>
      </c>
      <c r="D82" s="18">
        <f t="shared" si="2"/>
        <v>0.02</v>
      </c>
      <c r="E82" s="6">
        <f t="shared" si="3"/>
        <v>364</v>
      </c>
      <c r="F82" s="18">
        <f t="shared" si="1"/>
        <v>1.019944662652261</v>
      </c>
      <c r="G82" s="17"/>
      <c r="H82" s="16"/>
    </row>
    <row r="83" spans="1:8" s="6" customFormat="1" ht="12" x14ac:dyDescent="0.2">
      <c r="A83" s="11">
        <v>42494</v>
      </c>
      <c r="B83" s="10">
        <v>-0.25</v>
      </c>
      <c r="C83" s="8">
        <v>1.75</v>
      </c>
      <c r="D83" s="18">
        <f>C83/100</f>
        <v>1.7500000000000002E-2</v>
      </c>
      <c r="E83" s="6">
        <f t="shared" si="3"/>
        <v>91</v>
      </c>
      <c r="F83" s="18">
        <f t="shared" si="1"/>
        <v>1.0043346444658483</v>
      </c>
      <c r="G83" s="17">
        <f>PRODUCT(F83:F84)-1</f>
        <v>1.0539832357175261E-2</v>
      </c>
      <c r="H83" s="16">
        <f>SUM(D83:D84)/2</f>
        <v>1.6250000000000001E-2</v>
      </c>
    </row>
    <row r="84" spans="1:8" s="6" customFormat="1" ht="12" x14ac:dyDescent="0.2">
      <c r="A84" s="11">
        <v>42585</v>
      </c>
      <c r="B84" s="10">
        <v>-0.25</v>
      </c>
      <c r="C84" s="8">
        <v>1.5</v>
      </c>
      <c r="D84" s="18">
        <f>C84/100</f>
        <v>1.4999999999999999E-2</v>
      </c>
      <c r="E84" s="6">
        <f t="shared" si="3"/>
        <v>151</v>
      </c>
      <c r="F84" s="18">
        <f t="shared" si="1"/>
        <v>1.0061784066949391</v>
      </c>
      <c r="G84" s="17"/>
      <c r="H84" s="16"/>
    </row>
    <row r="85" spans="1:8" x14ac:dyDescent="0.25">
      <c r="A85" s="11">
        <v>42736</v>
      </c>
      <c r="B85" s="12">
        <v>0</v>
      </c>
      <c r="C85" s="8">
        <v>1.5</v>
      </c>
      <c r="D85" s="18">
        <f t="shared" ref="D85:D86" si="7">C85/100</f>
        <v>1.4999999999999999E-2</v>
      </c>
      <c r="E85" s="6">
        <f t="shared" si="3"/>
        <v>365</v>
      </c>
      <c r="F85" s="18">
        <f t="shared" si="1"/>
        <v>1.0149999999999999</v>
      </c>
      <c r="G85" s="17">
        <f>PRODUCT(F85)-1</f>
        <v>1.4999999999999902E-2</v>
      </c>
      <c r="H85" s="16">
        <f>SUM(D85:D85)</f>
        <v>1.4999999999999999E-2</v>
      </c>
    </row>
    <row r="86" spans="1:8" x14ac:dyDescent="0.25">
      <c r="A86" s="11">
        <v>43101</v>
      </c>
      <c r="B86" s="12">
        <v>0</v>
      </c>
      <c r="C86" s="8">
        <v>1.5</v>
      </c>
      <c r="D86" s="18">
        <f t="shared" si="7"/>
        <v>1.4999999999999999E-2</v>
      </c>
      <c r="E86" s="6">
        <f>A87-A86</f>
        <v>520</v>
      </c>
      <c r="F86" s="18">
        <f t="shared" si="1"/>
        <v>1.0214377299180073</v>
      </c>
      <c r="G86" s="17">
        <f>PRODUCT(F86)-1</f>
        <v>2.1437729918007298E-2</v>
      </c>
      <c r="H86" s="16">
        <f t="shared" ref="H86:H87" si="8">SUM(D86:D86)</f>
        <v>1.4999999999999999E-2</v>
      </c>
    </row>
    <row r="87" spans="1:8" s="6" customFormat="1" ht="12" x14ac:dyDescent="0.2">
      <c r="A87" s="11">
        <v>43621</v>
      </c>
      <c r="B87" s="10">
        <v>-0.25</v>
      </c>
      <c r="C87" s="8">
        <v>1.25</v>
      </c>
      <c r="D87" s="18">
        <f t="shared" si="2"/>
        <v>1.2500000000000001E-2</v>
      </c>
      <c r="E87" s="6">
        <f t="shared" si="3"/>
        <v>28</v>
      </c>
      <c r="F87" s="18">
        <f t="shared" si="1"/>
        <v>1.0009534146493142</v>
      </c>
      <c r="G87" s="17">
        <f>PRODUCT(F87:F89)-1</f>
        <v>6.6080413770477353E-3</v>
      </c>
      <c r="H87" s="16">
        <f>SUM(D87:D89)/3</f>
        <v>0.01</v>
      </c>
    </row>
    <row r="88" spans="1:8" s="6" customFormat="1" ht="12" x14ac:dyDescent="0.2">
      <c r="A88" s="11">
        <v>43649</v>
      </c>
      <c r="B88" s="10">
        <v>-0.25</v>
      </c>
      <c r="C88" s="8">
        <v>1</v>
      </c>
      <c r="D88" s="18">
        <f t="shared" si="2"/>
        <v>0.01</v>
      </c>
      <c r="E88" s="6">
        <f t="shared" si="3"/>
        <v>91</v>
      </c>
      <c r="F88" s="18">
        <f t="shared" ref="F88:F106" si="9">(1+D88)^(E88/365)</f>
        <v>1.0024838470677835</v>
      </c>
      <c r="G88" s="17"/>
      <c r="H88" s="16"/>
    </row>
    <row r="89" spans="1:8" s="6" customFormat="1" ht="12" x14ac:dyDescent="0.2">
      <c r="A89" s="11">
        <v>43740</v>
      </c>
      <c r="B89" s="10">
        <v>-0.25</v>
      </c>
      <c r="C89" s="8">
        <v>0.75</v>
      </c>
      <c r="D89" s="18">
        <f t="shared" si="2"/>
        <v>7.4999999999999997E-3</v>
      </c>
      <c r="E89" s="6">
        <f t="shared" si="3"/>
        <v>154</v>
      </c>
      <c r="F89" s="18">
        <f t="shared" si="9"/>
        <v>1.0031575507180559</v>
      </c>
      <c r="G89" s="17"/>
      <c r="H89" s="16"/>
    </row>
    <row r="90" spans="1:8" s="6" customFormat="1" ht="12" x14ac:dyDescent="0.2">
      <c r="A90" s="11">
        <v>43894</v>
      </c>
      <c r="B90" s="10">
        <v>-0.25</v>
      </c>
      <c r="C90" s="8">
        <v>0.5</v>
      </c>
      <c r="D90" s="18">
        <f t="shared" si="2"/>
        <v>5.0000000000000001E-3</v>
      </c>
      <c r="E90" s="6">
        <f t="shared" si="3"/>
        <v>16</v>
      </c>
      <c r="F90" s="18">
        <f t="shared" si="9"/>
        <v>1.0002186558583563</v>
      </c>
      <c r="G90" s="17">
        <f>PRODUCT(F90:F92)-1</f>
        <v>1.9458832413057348E-3</v>
      </c>
      <c r="H90" s="16">
        <f>SUM(D90:D92)/3</f>
        <v>2.8333333333333335E-3</v>
      </c>
    </row>
    <row r="91" spans="1:8" s="6" customFormat="1" ht="12" x14ac:dyDescent="0.2">
      <c r="A91" s="11">
        <v>43910</v>
      </c>
      <c r="B91" s="10">
        <v>-0.25</v>
      </c>
      <c r="C91" s="8">
        <v>0.25</v>
      </c>
      <c r="D91" s="18">
        <f t="shared" ref="D91:D107" si="10">C91/100</f>
        <v>2.5000000000000001E-3</v>
      </c>
      <c r="E91" s="6">
        <f t="shared" si="3"/>
        <v>229</v>
      </c>
      <c r="F91" s="18">
        <f t="shared" si="9"/>
        <v>1.0015677634539988</v>
      </c>
      <c r="G91" s="17"/>
      <c r="H91" s="16"/>
    </row>
    <row r="92" spans="1:8" s="6" customFormat="1" ht="12" x14ac:dyDescent="0.2">
      <c r="A92" s="11">
        <v>44139</v>
      </c>
      <c r="B92" s="10">
        <v>-0.15</v>
      </c>
      <c r="C92" s="8">
        <v>0.1</v>
      </c>
      <c r="D92" s="18">
        <f t="shared" si="10"/>
        <v>1E-3</v>
      </c>
      <c r="E92" s="6">
        <f t="shared" si="3"/>
        <v>58</v>
      </c>
      <c r="F92" s="18">
        <f t="shared" si="9"/>
        <v>1.0001588373237746</v>
      </c>
      <c r="G92" s="17"/>
      <c r="H92" s="16"/>
    </row>
    <row r="93" spans="1:8" s="6" customFormat="1" ht="11.25" customHeight="1" x14ac:dyDescent="0.2">
      <c r="A93" s="11">
        <v>44197</v>
      </c>
      <c r="B93" s="10">
        <v>0</v>
      </c>
      <c r="C93" s="8">
        <v>0.1</v>
      </c>
      <c r="D93" s="18">
        <f t="shared" si="10"/>
        <v>1E-3</v>
      </c>
      <c r="E93" s="6">
        <f t="shared" si="3"/>
        <v>488</v>
      </c>
      <c r="F93" s="18">
        <f t="shared" si="9"/>
        <v>1.0013372115246384</v>
      </c>
      <c r="G93" s="17">
        <f>PRODUCT(F93:F93)-1</f>
        <v>1.3372115246383931E-3</v>
      </c>
      <c r="H93" s="16">
        <f>SUM(D93:D93)</f>
        <v>1E-3</v>
      </c>
    </row>
    <row r="94" spans="1:8" s="6" customFormat="1" ht="12" x14ac:dyDescent="0.2">
      <c r="A94" s="11">
        <v>44685</v>
      </c>
      <c r="B94" s="10">
        <v>0.25</v>
      </c>
      <c r="C94" s="8">
        <v>0.35</v>
      </c>
      <c r="D94" s="18">
        <f t="shared" si="10"/>
        <v>3.4999999999999996E-3</v>
      </c>
      <c r="E94" s="6">
        <f t="shared" ref="E94:E107" si="11">A95-A94</f>
        <v>35</v>
      </c>
      <c r="F94" s="18">
        <f t="shared" si="9"/>
        <v>1.0003350866054137</v>
      </c>
      <c r="G94" s="17">
        <f>PRODUCT(F94:F101)-1</f>
        <v>1.5606305333477177E-2</v>
      </c>
      <c r="H94" s="16">
        <f>SUM(D94:D101)/7</f>
        <v>2.1857142857142856E-2</v>
      </c>
    </row>
    <row r="95" spans="1:8" s="6" customFormat="1" ht="12" x14ac:dyDescent="0.2">
      <c r="A95" s="11">
        <v>44720</v>
      </c>
      <c r="B95" s="10">
        <v>0.5</v>
      </c>
      <c r="C95" s="8">
        <v>0.85</v>
      </c>
      <c r="D95" s="18">
        <f t="shared" si="10"/>
        <v>8.5000000000000006E-3</v>
      </c>
      <c r="E95" s="6">
        <f t="shared" si="11"/>
        <v>28</v>
      </c>
      <c r="F95" s="18">
        <f t="shared" si="9"/>
        <v>1.0006495100061956</v>
      </c>
      <c r="G95" s="17"/>
      <c r="H95" s="16"/>
    </row>
    <row r="96" spans="1:8" s="6" customFormat="1" ht="12" x14ac:dyDescent="0.2">
      <c r="A96" s="11">
        <v>44748</v>
      </c>
      <c r="B96" s="10">
        <v>0.5</v>
      </c>
      <c r="C96" s="8">
        <v>1.35</v>
      </c>
      <c r="D96" s="18">
        <f t="shared" si="10"/>
        <v>1.3500000000000002E-2</v>
      </c>
      <c r="E96" s="6">
        <f t="shared" si="11"/>
        <v>28</v>
      </c>
      <c r="F96" s="18">
        <f t="shared" si="9"/>
        <v>1.0010292175921913</v>
      </c>
      <c r="G96" s="17"/>
      <c r="H96" s="16"/>
    </row>
    <row r="97" spans="1:8" s="6" customFormat="1" ht="12" x14ac:dyDescent="0.2">
      <c r="A97" s="11">
        <v>44776</v>
      </c>
      <c r="B97" s="10">
        <v>0.5</v>
      </c>
      <c r="C97" s="8">
        <v>1.85</v>
      </c>
      <c r="D97" s="18">
        <f t="shared" si="10"/>
        <v>1.8500000000000003E-2</v>
      </c>
      <c r="E97" s="6">
        <f t="shared" si="11"/>
        <v>35</v>
      </c>
      <c r="F97" s="18">
        <f t="shared" si="9"/>
        <v>1.0017593087406638</v>
      </c>
      <c r="G97" s="17"/>
      <c r="H97" s="16"/>
    </row>
    <row r="98" spans="1:8" s="6" customFormat="1" ht="12" x14ac:dyDescent="0.2">
      <c r="A98" s="11">
        <v>44811</v>
      </c>
      <c r="B98" s="10">
        <v>0.5</v>
      </c>
      <c r="C98" s="8">
        <v>2.35</v>
      </c>
      <c r="D98" s="18">
        <f t="shared" si="10"/>
        <v>2.35E-2</v>
      </c>
      <c r="E98" s="6">
        <f t="shared" si="11"/>
        <v>28</v>
      </c>
      <c r="F98" s="18">
        <f t="shared" si="9"/>
        <v>1.0017834721455336</v>
      </c>
      <c r="G98" s="17"/>
      <c r="H98" s="16"/>
    </row>
    <row r="99" spans="1:8" s="6" customFormat="1" ht="12" x14ac:dyDescent="0.2">
      <c r="A99" s="11">
        <v>44839</v>
      </c>
      <c r="B99" s="10">
        <v>0.25</v>
      </c>
      <c r="C99" s="8">
        <v>2.6</v>
      </c>
      <c r="D99" s="18">
        <f t="shared" si="10"/>
        <v>2.6000000000000002E-2</v>
      </c>
      <c r="E99" s="6">
        <f t="shared" si="11"/>
        <v>28</v>
      </c>
      <c r="F99" s="18">
        <f t="shared" si="9"/>
        <v>1.001970972445011</v>
      </c>
      <c r="G99" s="17"/>
      <c r="H99" s="16"/>
    </row>
    <row r="100" spans="1:8" s="6" customFormat="1" ht="12" x14ac:dyDescent="0.2">
      <c r="A100" s="11">
        <v>44867</v>
      </c>
      <c r="B100" s="10">
        <v>0.25</v>
      </c>
      <c r="C100" s="8">
        <v>2.85</v>
      </c>
      <c r="D100" s="18">
        <f t="shared" si="10"/>
        <v>2.8500000000000001E-2</v>
      </c>
      <c r="E100" s="6">
        <f t="shared" si="11"/>
        <v>35</v>
      </c>
      <c r="F100" s="18">
        <f t="shared" si="9"/>
        <v>1.0026982915351397</v>
      </c>
      <c r="G100" s="17"/>
      <c r="H100" s="16"/>
    </row>
    <row r="101" spans="1:8" s="6" customFormat="1" ht="12" x14ac:dyDescent="0.2">
      <c r="A101" s="11">
        <v>44902</v>
      </c>
      <c r="B101" s="10">
        <v>0.25</v>
      </c>
      <c r="C101" s="8">
        <v>3.1</v>
      </c>
      <c r="D101" s="18">
        <f t="shared" si="10"/>
        <v>3.1E-2</v>
      </c>
      <c r="E101" s="6">
        <f t="shared" si="11"/>
        <v>63</v>
      </c>
      <c r="F101" s="18">
        <f t="shared" si="9"/>
        <v>1.0052833322656141</v>
      </c>
      <c r="G101" s="17"/>
      <c r="H101" s="16"/>
    </row>
    <row r="102" spans="1:8" s="6" customFormat="1" ht="12" x14ac:dyDescent="0.2">
      <c r="A102" s="11">
        <v>44965</v>
      </c>
      <c r="B102" s="10">
        <v>0.25</v>
      </c>
      <c r="C102" s="8">
        <v>3.35</v>
      </c>
      <c r="D102" s="18">
        <f t="shared" si="10"/>
        <v>3.3500000000000002E-2</v>
      </c>
      <c r="E102" s="6">
        <f t="shared" si="11"/>
        <v>28</v>
      </c>
      <c r="F102" s="18">
        <f t="shared" si="9"/>
        <v>1.0025309530949809</v>
      </c>
      <c r="G102" s="17">
        <f>PRODUCT(F102:F106)-1</f>
        <v>7.520377292031033E-2</v>
      </c>
      <c r="H102" s="16">
        <f>SUM(D102:D106)/5</f>
        <v>3.85E-2</v>
      </c>
    </row>
    <row r="103" spans="1:8" s="6" customFormat="1" ht="12" x14ac:dyDescent="0.2">
      <c r="A103" s="11">
        <v>44993</v>
      </c>
      <c r="B103" s="10">
        <v>0.25</v>
      </c>
      <c r="C103" s="8">
        <v>3.6</v>
      </c>
      <c r="D103" s="18">
        <f t="shared" si="10"/>
        <v>3.6000000000000004E-2</v>
      </c>
      <c r="E103" s="6">
        <f t="shared" si="11"/>
        <v>56</v>
      </c>
      <c r="F103" s="18">
        <f t="shared" si="9"/>
        <v>1.0054409403745326</v>
      </c>
      <c r="G103" s="17"/>
      <c r="H103" s="16"/>
    </row>
    <row r="104" spans="1:8" s="6" customFormat="1" ht="12" x14ac:dyDescent="0.2">
      <c r="A104" s="11">
        <v>45049</v>
      </c>
      <c r="B104" s="10">
        <v>0.25</v>
      </c>
      <c r="C104" s="8">
        <v>3.85</v>
      </c>
      <c r="D104" s="18">
        <f t="shared" si="10"/>
        <v>3.85E-2</v>
      </c>
      <c r="E104" s="6">
        <f t="shared" si="11"/>
        <v>35</v>
      </c>
      <c r="F104" s="18">
        <f t="shared" si="9"/>
        <v>1.003629056126742</v>
      </c>
      <c r="G104" s="17"/>
      <c r="H104" s="16"/>
    </row>
    <row r="105" spans="1:8" s="6" customFormat="1" ht="12" x14ac:dyDescent="0.2">
      <c r="A105" s="11">
        <v>45084</v>
      </c>
      <c r="B105" s="10">
        <v>0.25</v>
      </c>
      <c r="C105" s="8">
        <v>4.0999999999999996</v>
      </c>
      <c r="D105" s="18">
        <f t="shared" si="10"/>
        <v>4.0999999999999995E-2</v>
      </c>
      <c r="E105" s="6">
        <f t="shared" si="11"/>
        <v>154</v>
      </c>
      <c r="F105" s="18">
        <f t="shared" si="9"/>
        <v>1.0170979372854505</v>
      </c>
      <c r="G105" s="17"/>
      <c r="H105" s="16"/>
    </row>
    <row r="106" spans="1:8" s="6" customFormat="1" ht="12" x14ac:dyDescent="0.2">
      <c r="A106" s="11">
        <v>45238</v>
      </c>
      <c r="B106" s="10">
        <v>0.25</v>
      </c>
      <c r="C106" s="8">
        <v>4.3499999999999996</v>
      </c>
      <c r="D106" s="18">
        <f t="shared" si="10"/>
        <v>4.3499999999999997E-2</v>
      </c>
      <c r="E106" s="6">
        <f t="shared" si="11"/>
        <v>377</v>
      </c>
      <c r="F106" s="18">
        <f t="shared" si="9"/>
        <v>1.0449618239660539</v>
      </c>
      <c r="G106" s="17"/>
      <c r="H106" s="16"/>
    </row>
    <row r="107" spans="1:8" s="6" customFormat="1" ht="12" x14ac:dyDescent="0.2">
      <c r="A107" s="11">
        <v>45615</v>
      </c>
      <c r="B107" s="10">
        <v>0</v>
      </c>
      <c r="C107" s="8">
        <v>4.3499999999999996</v>
      </c>
      <c r="D107" s="16">
        <f t="shared" si="10"/>
        <v>4.3499999999999997E-2</v>
      </c>
      <c r="E107" s="6">
        <f t="shared" si="11"/>
        <v>-45615</v>
      </c>
      <c r="F107" s="18">
        <f>(1+D107)^(E107/365)</f>
        <v>4.8859606769485467E-3</v>
      </c>
      <c r="G107" s="17"/>
      <c r="H107" s="16">
        <f t="shared" ref="H87:H107" si="12">SUM(D107:D109)/3</f>
        <v>1.4499999999999999E-2</v>
      </c>
    </row>
    <row r="108" spans="1:8" s="6" customFormat="1" ht="12" x14ac:dyDescent="0.2">
      <c r="A108" s="11"/>
      <c r="B108" s="10"/>
      <c r="C108" s="8"/>
    </row>
    <row r="109" spans="1:8" s="6" customFormat="1" ht="12" x14ac:dyDescent="0.2">
      <c r="A109" s="11"/>
      <c r="B109" s="10"/>
      <c r="C109" s="8"/>
    </row>
    <row r="110" spans="1:8" s="6" customFormat="1" ht="12" x14ac:dyDescent="0.2">
      <c r="A110" s="11"/>
      <c r="B110" s="10"/>
      <c r="C110" s="8"/>
    </row>
    <row r="111" spans="1:8" s="6" customFormat="1" ht="12" x14ac:dyDescent="0.2">
      <c r="A111" s="11"/>
      <c r="B111" s="10"/>
      <c r="C111" s="8"/>
    </row>
    <row r="112" spans="1:8" s="6" customFormat="1" ht="12" x14ac:dyDescent="0.2">
      <c r="A112" s="11"/>
      <c r="B112" s="10"/>
      <c r="C112" s="8"/>
    </row>
    <row r="113" spans="1:3" s="7" customFormat="1" x14ac:dyDescent="0.25">
      <c r="A113" s="11"/>
      <c r="B113" s="12"/>
      <c r="C113" s="8"/>
    </row>
    <row r="114" spans="1:3" s="7" customFormat="1" x14ac:dyDescent="0.25">
      <c r="A114" s="11"/>
      <c r="B114" s="12"/>
      <c r="C114" s="8"/>
    </row>
    <row r="115" spans="1:3" s="7" customFormat="1" x14ac:dyDescent="0.25">
      <c r="A115" s="11"/>
      <c r="B115" s="12"/>
      <c r="C115" s="8"/>
    </row>
    <row r="116" spans="1:3" s="7" customFormat="1" x14ac:dyDescent="0.25">
      <c r="A116" s="11"/>
      <c r="B116" s="12"/>
      <c r="C116" s="8"/>
    </row>
    <row r="117" spans="1:3" s="7" customFormat="1" x14ac:dyDescent="0.25">
      <c r="A117" s="11"/>
      <c r="B117" s="12"/>
      <c r="C117" s="8"/>
    </row>
    <row r="118" spans="1:3" s="7" customFormat="1" x14ac:dyDescent="0.25">
      <c r="A118" s="11"/>
      <c r="B118" s="8"/>
      <c r="C118" s="8"/>
    </row>
    <row r="119" spans="1:3" s="7" customFormat="1" x14ac:dyDescent="0.25">
      <c r="A119" s="11"/>
      <c r="B119" s="8"/>
      <c r="C119" s="8"/>
    </row>
    <row r="120" spans="1:3" s="7" customFormat="1" x14ac:dyDescent="0.25">
      <c r="A120" s="11"/>
      <c r="B120" s="8"/>
      <c r="C120" s="8"/>
    </row>
    <row r="121" spans="1:3" s="7" customFormat="1" x14ac:dyDescent="0.25">
      <c r="A121" s="11"/>
      <c r="B121" s="8"/>
      <c r="C121" s="8"/>
    </row>
    <row r="122" spans="1:3" s="7" customFormat="1" x14ac:dyDescent="0.25">
      <c r="A122" s="11"/>
      <c r="B122" s="8"/>
      <c r="C122" s="8"/>
    </row>
    <row r="123" spans="1:3" s="7" customFormat="1" x14ac:dyDescent="0.25">
      <c r="A123" s="11"/>
      <c r="B123" s="8"/>
      <c r="C123" s="8"/>
    </row>
    <row r="124" spans="1:3" s="7" customFormat="1" x14ac:dyDescent="0.25">
      <c r="A124" s="11"/>
      <c r="B124" s="8"/>
      <c r="C124" s="8"/>
    </row>
    <row r="125" spans="1:3" s="7" customFormat="1" x14ac:dyDescent="0.25">
      <c r="A125" s="11"/>
      <c r="B125" s="8"/>
      <c r="C125" s="8"/>
    </row>
    <row r="126" spans="1:3" s="7" customFormat="1" x14ac:dyDescent="0.25">
      <c r="A126" s="11"/>
      <c r="B126" s="8"/>
      <c r="C126" s="8"/>
    </row>
    <row r="127" spans="1:3" s="7" customFormat="1" x14ac:dyDescent="0.25">
      <c r="A127" s="11"/>
      <c r="B127" s="8"/>
      <c r="C127" s="8"/>
    </row>
    <row r="128" spans="1:3" s="7" customFormat="1" x14ac:dyDescent="0.25">
      <c r="A128" s="11"/>
      <c r="B128" s="8"/>
      <c r="C128" s="8"/>
    </row>
    <row r="129" spans="1:3" s="7" customFormat="1" x14ac:dyDescent="0.25">
      <c r="A129" s="11"/>
      <c r="B129" s="8"/>
      <c r="C129" s="8"/>
    </row>
    <row r="130" spans="1:3" s="7" customFormat="1" x14ac:dyDescent="0.25">
      <c r="A130" s="11"/>
      <c r="B130" s="8"/>
      <c r="C130" s="8"/>
    </row>
    <row r="131" spans="1:3" s="7" customFormat="1" x14ac:dyDescent="0.25">
      <c r="A131" s="11"/>
      <c r="B131" s="8"/>
      <c r="C131" s="8"/>
    </row>
    <row r="132" spans="1:3" s="7" customFormat="1" x14ac:dyDescent="0.25">
      <c r="A132" s="11"/>
      <c r="B132" s="8"/>
      <c r="C132" s="8"/>
    </row>
    <row r="133" spans="1:3" s="7" customFormat="1" x14ac:dyDescent="0.25">
      <c r="A133" s="11"/>
      <c r="B133" s="8"/>
      <c r="C133" s="8"/>
    </row>
    <row r="134" spans="1:3" s="7" customFormat="1" x14ac:dyDescent="0.25">
      <c r="A134" s="11"/>
      <c r="B134" s="8"/>
      <c r="C134" s="8"/>
    </row>
    <row r="135" spans="1:3" s="7" customFormat="1" x14ac:dyDescent="0.25">
      <c r="A135" s="11"/>
      <c r="B135" s="8"/>
      <c r="C135" s="8"/>
    </row>
    <row r="136" spans="1:3" s="7" customFormat="1" x14ac:dyDescent="0.25">
      <c r="A136" s="11"/>
      <c r="B136" s="8"/>
      <c r="C136" s="8"/>
    </row>
    <row r="137" spans="1:3" s="7" customFormat="1" x14ac:dyDescent="0.25">
      <c r="A137" s="11"/>
      <c r="B137" s="8"/>
      <c r="C137" s="8"/>
    </row>
    <row r="138" spans="1:3" s="7" customFormat="1" x14ac:dyDescent="0.25">
      <c r="A138" s="11"/>
      <c r="B138" s="8"/>
      <c r="C138" s="8"/>
    </row>
    <row r="139" spans="1:3" s="7" customFormat="1" x14ac:dyDescent="0.25">
      <c r="A139" s="11"/>
      <c r="B139" s="8"/>
      <c r="C139" s="8"/>
    </row>
    <row r="140" spans="1:3" s="7" customFormat="1" x14ac:dyDescent="0.25">
      <c r="A140" s="11"/>
      <c r="B140" s="8"/>
      <c r="C140" s="8"/>
    </row>
    <row r="141" spans="1:3" s="7" customFormat="1" x14ac:dyDescent="0.25">
      <c r="A141" s="11"/>
      <c r="B141" s="8"/>
      <c r="C141" s="8"/>
    </row>
    <row r="142" spans="1:3" s="7" customFormat="1" x14ac:dyDescent="0.25">
      <c r="A142" s="11"/>
      <c r="B142" s="8"/>
      <c r="C142" s="8"/>
    </row>
    <row r="143" spans="1:3" s="7" customFormat="1" x14ac:dyDescent="0.25">
      <c r="A143" s="11"/>
      <c r="B143" s="8"/>
      <c r="C143" s="8"/>
    </row>
    <row r="144" spans="1:3" s="7" customFormat="1" x14ac:dyDescent="0.25">
      <c r="A144" s="11"/>
      <c r="B144" s="8"/>
      <c r="C144" s="8"/>
    </row>
    <row r="145" spans="1:3" s="7" customFormat="1" x14ac:dyDescent="0.25">
      <c r="A145" s="11"/>
      <c r="B145" s="8"/>
      <c r="C145" s="8"/>
    </row>
    <row r="146" spans="1:3" s="7" customFormat="1" x14ac:dyDescent="0.25">
      <c r="A146" s="11"/>
      <c r="B146" s="8"/>
      <c r="C146" s="8"/>
    </row>
    <row r="147" spans="1:3" s="7" customFormat="1" x14ac:dyDescent="0.25">
      <c r="A147" s="11"/>
      <c r="B147" s="8"/>
      <c r="C147" s="8"/>
    </row>
    <row r="148" spans="1:3" s="7" customFormat="1" x14ac:dyDescent="0.25">
      <c r="A148" s="11"/>
      <c r="B148" s="8"/>
      <c r="C148" s="8"/>
    </row>
    <row r="149" spans="1:3" s="7" customFormat="1" x14ac:dyDescent="0.25">
      <c r="A149" s="11"/>
      <c r="B149" s="8"/>
      <c r="C149" s="8"/>
    </row>
    <row r="150" spans="1:3" s="7" customFormat="1" x14ac:dyDescent="0.25">
      <c r="A150" s="11"/>
      <c r="B150" s="8"/>
      <c r="C150" s="8"/>
    </row>
    <row r="151" spans="1:3" s="7" customFormat="1" x14ac:dyDescent="0.25">
      <c r="A151" s="11"/>
      <c r="B151" s="8"/>
      <c r="C151" s="8"/>
    </row>
    <row r="152" spans="1:3" s="7" customFormat="1" x14ac:dyDescent="0.25">
      <c r="A152" s="11"/>
      <c r="B152" s="8"/>
      <c r="C152" s="8"/>
    </row>
    <row r="153" spans="1:3" s="7" customFormat="1" x14ac:dyDescent="0.25">
      <c r="A153" s="11"/>
      <c r="B153" s="8"/>
      <c r="C153" s="8"/>
    </row>
    <row r="154" spans="1:3" s="7" customFormat="1" x14ac:dyDescent="0.25">
      <c r="A154" s="11"/>
      <c r="B154" s="8"/>
      <c r="C154" s="8"/>
    </row>
    <row r="155" spans="1:3" s="7" customFormat="1" x14ac:dyDescent="0.25">
      <c r="A155" s="11"/>
      <c r="B155" s="8"/>
      <c r="C155" s="8"/>
    </row>
    <row r="156" spans="1:3" s="7" customFormat="1" x14ac:dyDescent="0.25">
      <c r="A156" s="11"/>
      <c r="B156" s="8"/>
      <c r="C156" s="8"/>
    </row>
    <row r="157" spans="1:3" s="7" customFormat="1" x14ac:dyDescent="0.25">
      <c r="A157" s="11"/>
      <c r="B157" s="8"/>
      <c r="C157" s="8"/>
    </row>
    <row r="158" spans="1:3" s="7" customFormat="1" x14ac:dyDescent="0.25">
      <c r="A158" s="11"/>
      <c r="B158" s="8"/>
      <c r="C158" s="8"/>
    </row>
    <row r="159" spans="1:3" s="7" customFormat="1" x14ac:dyDescent="0.25">
      <c r="A159" s="11"/>
      <c r="B159" s="8"/>
      <c r="C159" s="8"/>
    </row>
    <row r="160" spans="1:3" s="7" customFormat="1" x14ac:dyDescent="0.25">
      <c r="A160" s="11"/>
      <c r="B160" s="8"/>
      <c r="C160" s="8"/>
    </row>
    <row r="161" spans="1:3" s="7" customFormat="1" x14ac:dyDescent="0.25">
      <c r="A161" s="11"/>
      <c r="B161" s="8"/>
      <c r="C161" s="8"/>
    </row>
    <row r="162" spans="1:3" s="7" customFormat="1" x14ac:dyDescent="0.25">
      <c r="A162" s="11"/>
      <c r="B162" s="8"/>
      <c r="C162" s="8"/>
    </row>
    <row r="163" spans="1:3" s="7" customFormat="1" x14ac:dyDescent="0.25">
      <c r="A163" s="11"/>
      <c r="B163" s="8"/>
      <c r="C163" s="8"/>
    </row>
    <row r="164" spans="1:3" s="7" customFormat="1" x14ac:dyDescent="0.25">
      <c r="A164" s="11"/>
      <c r="B164" s="8"/>
      <c r="C164" s="8"/>
    </row>
    <row r="165" spans="1:3" s="7" customFormat="1" x14ac:dyDescent="0.25">
      <c r="A165" s="11"/>
      <c r="B165" s="8"/>
      <c r="C165" s="8"/>
    </row>
    <row r="166" spans="1:3" s="7" customFormat="1" x14ac:dyDescent="0.25">
      <c r="A166" s="11"/>
      <c r="B166" s="8"/>
      <c r="C166" s="8"/>
    </row>
    <row r="167" spans="1:3" s="7" customFormat="1" x14ac:dyDescent="0.25">
      <c r="A167" s="11"/>
      <c r="B167" s="8"/>
      <c r="C167" s="8"/>
    </row>
    <row r="168" spans="1:3" s="7" customFormat="1" x14ac:dyDescent="0.25">
      <c r="A168" s="11"/>
      <c r="B168" s="8"/>
      <c r="C168" s="8"/>
    </row>
    <row r="169" spans="1:3" s="7" customFormat="1" x14ac:dyDescent="0.25">
      <c r="A169" s="11"/>
      <c r="B169" s="8"/>
      <c r="C169" s="8"/>
    </row>
    <row r="170" spans="1:3" s="7" customFormat="1" x14ac:dyDescent="0.25">
      <c r="A170" s="11"/>
      <c r="B170" s="8"/>
      <c r="C170" s="8"/>
    </row>
    <row r="171" spans="1:3" s="7" customFormat="1" x14ac:dyDescent="0.25">
      <c r="A171" s="11"/>
      <c r="B171" s="8"/>
      <c r="C171" s="8"/>
    </row>
    <row r="172" spans="1:3" s="7" customFormat="1" x14ac:dyDescent="0.25">
      <c r="A172" s="11"/>
      <c r="B172" s="8"/>
      <c r="C172" s="8"/>
    </row>
    <row r="173" spans="1:3" s="7" customFormat="1" x14ac:dyDescent="0.25">
      <c r="A173" s="11"/>
      <c r="B173" s="8"/>
      <c r="C173" s="8"/>
    </row>
    <row r="174" spans="1:3" s="7" customFormat="1" x14ac:dyDescent="0.25">
      <c r="A174" s="11"/>
      <c r="B174" s="8"/>
      <c r="C174" s="8"/>
    </row>
    <row r="175" spans="1:3" s="7" customFormat="1" x14ac:dyDescent="0.25">
      <c r="A175" s="11"/>
      <c r="B175" s="8"/>
      <c r="C175" s="8"/>
    </row>
    <row r="176" spans="1:3" s="7" customFormat="1" x14ac:dyDescent="0.25">
      <c r="A176" s="11"/>
      <c r="B176" s="8"/>
      <c r="C176" s="8"/>
    </row>
    <row r="177" spans="1:3" s="7" customFormat="1" x14ac:dyDescent="0.25">
      <c r="A177" s="11"/>
      <c r="B177" s="8"/>
      <c r="C177" s="8"/>
    </row>
    <row r="178" spans="1:3" s="7" customFormat="1" x14ac:dyDescent="0.25">
      <c r="A178" s="11"/>
      <c r="B178" s="8"/>
      <c r="C178" s="8"/>
    </row>
    <row r="179" spans="1:3" s="7" customFormat="1" x14ac:dyDescent="0.25">
      <c r="A179" s="11"/>
      <c r="B179" s="8"/>
      <c r="C179" s="8"/>
    </row>
    <row r="180" spans="1:3" s="7" customFormat="1" x14ac:dyDescent="0.25">
      <c r="A180" s="11"/>
      <c r="B180" s="8"/>
      <c r="C180" s="8"/>
    </row>
    <row r="181" spans="1:3" s="7" customFormat="1" x14ac:dyDescent="0.25">
      <c r="A181" s="11"/>
      <c r="B181" s="8"/>
      <c r="C181" s="8"/>
    </row>
    <row r="182" spans="1:3" s="7" customFormat="1" x14ac:dyDescent="0.25">
      <c r="A182" s="11"/>
      <c r="B182" s="8"/>
      <c r="C182" s="8"/>
    </row>
    <row r="183" spans="1:3" s="7" customFormat="1" x14ac:dyDescent="0.25">
      <c r="A183" s="11"/>
      <c r="B183" s="8"/>
      <c r="C183" s="8"/>
    </row>
    <row r="184" spans="1:3" s="7" customFormat="1" x14ac:dyDescent="0.25">
      <c r="A184" s="11"/>
      <c r="B184" s="8"/>
      <c r="C184" s="8"/>
    </row>
    <row r="185" spans="1:3" s="7" customFormat="1" x14ac:dyDescent="0.25">
      <c r="A185" s="11"/>
      <c r="B185" s="8"/>
      <c r="C185" s="8"/>
    </row>
    <row r="186" spans="1:3" s="7" customFormat="1" x14ac:dyDescent="0.25">
      <c r="A186" s="11"/>
      <c r="B186" s="8"/>
      <c r="C186" s="8"/>
    </row>
    <row r="187" spans="1:3" s="7" customFormat="1" x14ac:dyDescent="0.25">
      <c r="A187" s="11"/>
      <c r="B187" s="8"/>
      <c r="C187" s="8"/>
    </row>
    <row r="188" spans="1:3" s="7" customFormat="1" x14ac:dyDescent="0.25">
      <c r="A188" s="11"/>
      <c r="B188" s="8"/>
      <c r="C188" s="8"/>
    </row>
    <row r="189" spans="1:3" s="7" customFormat="1" x14ac:dyDescent="0.25">
      <c r="A189" s="11"/>
      <c r="B189" s="8"/>
      <c r="C189" s="8"/>
    </row>
    <row r="190" spans="1:3" s="7" customFormat="1" x14ac:dyDescent="0.25">
      <c r="A190" s="11"/>
      <c r="B190" s="8"/>
      <c r="C190" s="8"/>
    </row>
    <row r="191" spans="1:3" s="7" customFormat="1" x14ac:dyDescent="0.25">
      <c r="A191" s="11"/>
      <c r="B191" s="8"/>
      <c r="C191" s="8"/>
    </row>
    <row r="192" spans="1:3" s="7" customFormat="1" x14ac:dyDescent="0.25">
      <c r="A192" s="11"/>
      <c r="B192" s="8"/>
      <c r="C192" s="8"/>
    </row>
    <row r="193" spans="1:3" s="7" customFormat="1" x14ac:dyDescent="0.25">
      <c r="A193" s="11"/>
      <c r="B193" s="8"/>
      <c r="C193" s="8"/>
    </row>
    <row r="194" spans="1:3" s="7" customFormat="1" x14ac:dyDescent="0.25">
      <c r="A194" s="11"/>
      <c r="B194" s="8"/>
      <c r="C194" s="8"/>
    </row>
    <row r="195" spans="1:3" s="7" customFormat="1" x14ac:dyDescent="0.25">
      <c r="A195" s="11"/>
      <c r="B195" s="8"/>
      <c r="C195" s="8"/>
    </row>
    <row r="196" spans="1:3" s="7" customFormat="1" x14ac:dyDescent="0.25">
      <c r="A196" s="11"/>
      <c r="B196" s="8"/>
      <c r="C196" s="8"/>
    </row>
    <row r="197" spans="1:3" s="7" customFormat="1" x14ac:dyDescent="0.25">
      <c r="A197" s="11"/>
      <c r="B197" s="8"/>
      <c r="C197" s="8"/>
    </row>
    <row r="198" spans="1:3" s="7" customFormat="1" x14ac:dyDescent="0.25">
      <c r="A198" s="11"/>
      <c r="B198" s="8"/>
      <c r="C198" s="8"/>
    </row>
    <row r="199" spans="1:3" s="7" customFormat="1" x14ac:dyDescent="0.25">
      <c r="A199" s="11"/>
      <c r="B199" s="8"/>
      <c r="C199" s="8"/>
    </row>
    <row r="200" spans="1:3" s="7" customFormat="1" x14ac:dyDescent="0.25">
      <c r="A200" s="11"/>
      <c r="B200" s="8"/>
      <c r="C200" s="8"/>
    </row>
    <row r="201" spans="1:3" s="7" customFormat="1" x14ac:dyDescent="0.25">
      <c r="A201" s="11"/>
      <c r="B201" s="8"/>
      <c r="C201" s="8"/>
    </row>
    <row r="202" spans="1:3" s="7" customFormat="1" x14ac:dyDescent="0.25">
      <c r="A202" s="11"/>
      <c r="B202" s="8"/>
      <c r="C202" s="8"/>
    </row>
    <row r="203" spans="1:3" s="7" customFormat="1" x14ac:dyDescent="0.25">
      <c r="A203" s="11"/>
      <c r="B203" s="8"/>
      <c r="C203" s="8"/>
    </row>
    <row r="204" spans="1:3" s="7" customFormat="1" x14ac:dyDescent="0.25">
      <c r="A204" s="11"/>
      <c r="B204" s="8"/>
      <c r="C204" s="8"/>
    </row>
    <row r="205" spans="1:3" s="7" customFormat="1" x14ac:dyDescent="0.25">
      <c r="A205" s="11"/>
      <c r="B205" s="8"/>
      <c r="C205" s="8"/>
    </row>
    <row r="206" spans="1:3" s="7" customFormat="1" x14ac:dyDescent="0.25">
      <c r="A206" s="11"/>
      <c r="B206" s="8"/>
      <c r="C206" s="8"/>
    </row>
    <row r="207" spans="1:3" s="7" customFormat="1" x14ac:dyDescent="0.25">
      <c r="A207" s="11"/>
      <c r="B207" s="8"/>
      <c r="C207" s="8"/>
    </row>
    <row r="208" spans="1:3" s="7" customFormat="1" x14ac:dyDescent="0.25">
      <c r="A208" s="11"/>
      <c r="B208" s="8"/>
      <c r="C208" s="8"/>
    </row>
    <row r="209" spans="1:3" s="7" customFormat="1" x14ac:dyDescent="0.25">
      <c r="A209" s="11"/>
      <c r="B209" s="8"/>
      <c r="C209" s="8"/>
    </row>
    <row r="210" spans="1:3" s="7" customFormat="1" x14ac:dyDescent="0.25">
      <c r="A210" s="11"/>
      <c r="B210" s="8"/>
      <c r="C210" s="8"/>
    </row>
    <row r="211" spans="1:3" s="7" customFormat="1" x14ac:dyDescent="0.25">
      <c r="A211" s="11"/>
      <c r="B211" s="8"/>
      <c r="C211" s="8"/>
    </row>
    <row r="212" spans="1:3" s="7" customFormat="1" x14ac:dyDescent="0.25">
      <c r="A212" s="11"/>
      <c r="B212" s="8"/>
      <c r="C212" s="8"/>
    </row>
    <row r="213" spans="1:3" s="7" customFormat="1" x14ac:dyDescent="0.25">
      <c r="A213" s="11"/>
      <c r="B213" s="8"/>
      <c r="C213" s="8"/>
    </row>
    <row r="214" spans="1:3" s="7" customFormat="1" x14ac:dyDescent="0.25">
      <c r="A214" s="11"/>
      <c r="B214" s="8"/>
      <c r="C214" s="8"/>
    </row>
    <row r="215" spans="1:3" s="7" customFormat="1" x14ac:dyDescent="0.25">
      <c r="A215" s="11"/>
      <c r="B215" s="8"/>
      <c r="C215" s="8"/>
    </row>
    <row r="216" spans="1:3" s="7" customFormat="1" x14ac:dyDescent="0.25">
      <c r="A216" s="11"/>
      <c r="B216" s="8"/>
      <c r="C216" s="8"/>
    </row>
    <row r="217" spans="1:3" s="7" customFormat="1" x14ac:dyDescent="0.25">
      <c r="A217" s="11"/>
      <c r="B217" s="8"/>
      <c r="C217" s="8"/>
    </row>
    <row r="218" spans="1:3" s="7" customFormat="1" x14ac:dyDescent="0.25">
      <c r="A218" s="11"/>
      <c r="B218" s="8"/>
      <c r="C218" s="8"/>
    </row>
    <row r="219" spans="1:3" s="7" customFormat="1" x14ac:dyDescent="0.25">
      <c r="A219" s="11"/>
      <c r="B219" s="8"/>
      <c r="C219" s="8"/>
    </row>
    <row r="220" spans="1:3" s="7" customFormat="1" x14ac:dyDescent="0.25">
      <c r="A220" s="11"/>
      <c r="B220" s="8"/>
      <c r="C220" s="8"/>
    </row>
    <row r="221" spans="1:3" s="7" customFormat="1" x14ac:dyDescent="0.25">
      <c r="A221" s="11"/>
      <c r="B221" s="8"/>
      <c r="C221" s="8"/>
    </row>
    <row r="222" spans="1:3" s="7" customFormat="1" x14ac:dyDescent="0.25">
      <c r="A222" s="11"/>
      <c r="B222" s="8"/>
      <c r="C222" s="8"/>
    </row>
    <row r="223" spans="1:3" s="7" customFormat="1" x14ac:dyDescent="0.25">
      <c r="A223" s="11"/>
      <c r="B223" s="8"/>
      <c r="C223" s="8"/>
    </row>
    <row r="224" spans="1:3" s="7" customFormat="1" x14ac:dyDescent="0.25">
      <c r="A224" s="11"/>
      <c r="B224" s="8"/>
      <c r="C224" s="8"/>
    </row>
    <row r="225" spans="1:3" s="7" customFormat="1" x14ac:dyDescent="0.25">
      <c r="A225" s="11"/>
      <c r="B225" s="8"/>
      <c r="C225" s="8"/>
    </row>
    <row r="226" spans="1:3" s="7" customFormat="1" x14ac:dyDescent="0.25">
      <c r="A226" s="11"/>
      <c r="B226" s="8"/>
      <c r="C226" s="8"/>
    </row>
    <row r="227" spans="1:3" s="7" customFormat="1" x14ac:dyDescent="0.25">
      <c r="A227" s="11"/>
      <c r="B227" s="8"/>
      <c r="C227" s="8"/>
    </row>
    <row r="228" spans="1:3" s="7" customFormat="1" x14ac:dyDescent="0.25">
      <c r="A228" s="11"/>
      <c r="B228" s="8"/>
      <c r="C228" s="8"/>
    </row>
    <row r="229" spans="1:3" s="7" customFormat="1" x14ac:dyDescent="0.25">
      <c r="A229" s="11"/>
      <c r="B229" s="8"/>
      <c r="C229" s="8"/>
    </row>
    <row r="230" spans="1:3" s="7" customFormat="1" x14ac:dyDescent="0.25">
      <c r="A230" s="11"/>
      <c r="B230" s="8"/>
      <c r="C230" s="8"/>
    </row>
    <row r="231" spans="1:3" s="7" customFormat="1" x14ac:dyDescent="0.25">
      <c r="A231" s="11"/>
      <c r="B231" s="8"/>
      <c r="C231" s="8"/>
    </row>
    <row r="232" spans="1:3" s="7" customFormat="1" x14ac:dyDescent="0.25">
      <c r="A232" s="11"/>
      <c r="B232" s="8"/>
      <c r="C232" s="8"/>
    </row>
    <row r="233" spans="1:3" s="7" customFormat="1" x14ac:dyDescent="0.25">
      <c r="A233" s="11"/>
      <c r="B233" s="8"/>
      <c r="C233" s="8"/>
    </row>
    <row r="234" spans="1:3" s="7" customFormat="1" x14ac:dyDescent="0.25">
      <c r="A234" s="11"/>
      <c r="B234" s="8"/>
      <c r="C234" s="8"/>
    </row>
    <row r="235" spans="1:3" s="7" customFormat="1" x14ac:dyDescent="0.25">
      <c r="A235" s="11"/>
      <c r="B235" s="8"/>
      <c r="C235" s="8"/>
    </row>
    <row r="236" spans="1:3" s="7" customFormat="1" x14ac:dyDescent="0.25">
      <c r="A236" s="11"/>
      <c r="B236" s="8"/>
      <c r="C236" s="8"/>
    </row>
    <row r="237" spans="1:3" s="7" customFormat="1" x14ac:dyDescent="0.25">
      <c r="A237" s="11"/>
      <c r="B237" s="8"/>
      <c r="C237" s="8"/>
    </row>
    <row r="238" spans="1:3" s="7" customFormat="1" x14ac:dyDescent="0.25">
      <c r="A238" s="11"/>
      <c r="B238" s="8"/>
      <c r="C238" s="8"/>
    </row>
    <row r="239" spans="1:3" s="7" customFormat="1" x14ac:dyDescent="0.25">
      <c r="A239" s="11"/>
      <c r="B239" s="8"/>
      <c r="C239" s="8"/>
    </row>
    <row r="240" spans="1:3" s="7" customFormat="1" x14ac:dyDescent="0.25">
      <c r="A240" s="11"/>
      <c r="B240" s="8"/>
      <c r="C240" s="8"/>
    </row>
    <row r="241" spans="1:3" s="7" customFormat="1" x14ac:dyDescent="0.25">
      <c r="A241" s="11"/>
      <c r="B241" s="8"/>
      <c r="C241" s="8"/>
    </row>
    <row r="242" spans="1:3" s="7" customFormat="1" x14ac:dyDescent="0.25">
      <c r="A242" s="11"/>
      <c r="B242" s="8"/>
      <c r="C242" s="8"/>
    </row>
    <row r="243" spans="1:3" s="7" customFormat="1" x14ac:dyDescent="0.25">
      <c r="A243" s="11"/>
      <c r="B243" s="8"/>
      <c r="C243" s="8"/>
    </row>
    <row r="244" spans="1:3" s="7" customFormat="1" x14ac:dyDescent="0.25">
      <c r="A244" s="11"/>
      <c r="B244" s="8"/>
      <c r="C244" s="8"/>
    </row>
    <row r="245" spans="1:3" s="7" customFormat="1" x14ac:dyDescent="0.25">
      <c r="A245" s="11"/>
      <c r="B245" s="8"/>
      <c r="C245" s="8"/>
    </row>
    <row r="246" spans="1:3" s="7" customFormat="1" x14ac:dyDescent="0.25">
      <c r="A246" s="11"/>
      <c r="B246" s="8"/>
      <c r="C246" s="8"/>
    </row>
    <row r="247" spans="1:3" s="7" customFormat="1" x14ac:dyDescent="0.25">
      <c r="A247" s="11"/>
      <c r="B247" s="8"/>
      <c r="C247" s="8"/>
    </row>
    <row r="248" spans="1:3" s="7" customFormat="1" x14ac:dyDescent="0.25">
      <c r="A248" s="11"/>
      <c r="B248" s="8"/>
      <c r="C248" s="8"/>
    </row>
    <row r="249" spans="1:3" s="7" customFormat="1" x14ac:dyDescent="0.25">
      <c r="A249" s="11"/>
      <c r="B249" s="8"/>
      <c r="C249" s="8"/>
    </row>
    <row r="250" spans="1:3" s="7" customFormat="1" x14ac:dyDescent="0.25">
      <c r="A250" s="11"/>
      <c r="B250" s="8"/>
      <c r="C250" s="8"/>
    </row>
    <row r="251" spans="1:3" s="7" customFormat="1" x14ac:dyDescent="0.25">
      <c r="A251" s="11"/>
      <c r="B251" s="8"/>
      <c r="C251" s="8"/>
    </row>
    <row r="252" spans="1:3" s="7" customFormat="1" x14ac:dyDescent="0.25">
      <c r="A252" s="11"/>
      <c r="B252" s="8"/>
      <c r="C252" s="8"/>
    </row>
    <row r="253" spans="1:3" s="7" customFormat="1" x14ac:dyDescent="0.25">
      <c r="A253" s="11"/>
      <c r="B253" s="8"/>
      <c r="C253" s="8"/>
    </row>
    <row r="254" spans="1:3" s="7" customFormat="1" x14ac:dyDescent="0.25">
      <c r="A254" s="11"/>
      <c r="B254" s="8"/>
      <c r="C254" s="8"/>
    </row>
    <row r="255" spans="1:3" s="7" customFormat="1" x14ac:dyDescent="0.25">
      <c r="A255" s="11"/>
      <c r="B255" s="8"/>
      <c r="C255" s="8"/>
    </row>
    <row r="256" spans="1:3" s="7" customFormat="1" x14ac:dyDescent="0.25">
      <c r="A256" s="11"/>
      <c r="B256" s="8"/>
      <c r="C256" s="8"/>
    </row>
    <row r="257" spans="1:3" s="7" customFormat="1" x14ac:dyDescent="0.25">
      <c r="A257" s="11"/>
      <c r="B257" s="8"/>
      <c r="C257" s="8"/>
    </row>
    <row r="258" spans="1:3" s="7" customFormat="1" x14ac:dyDescent="0.25">
      <c r="A258" s="11"/>
      <c r="B258" s="8"/>
      <c r="C258" s="8"/>
    </row>
    <row r="259" spans="1:3" s="7" customFormat="1" x14ac:dyDescent="0.25">
      <c r="A259" s="11"/>
      <c r="B259" s="8"/>
      <c r="C259" s="8"/>
    </row>
    <row r="260" spans="1:3" s="7" customFormat="1" x14ac:dyDescent="0.25">
      <c r="A260" s="11"/>
      <c r="B260" s="8"/>
      <c r="C260" s="8"/>
    </row>
    <row r="261" spans="1:3" s="7" customFormat="1" x14ac:dyDescent="0.25">
      <c r="A261" s="11"/>
      <c r="B261" s="8"/>
      <c r="C261" s="8"/>
    </row>
    <row r="262" spans="1:3" s="7" customFormat="1" x14ac:dyDescent="0.25">
      <c r="A262" s="11"/>
      <c r="B262" s="8"/>
      <c r="C262" s="8"/>
    </row>
    <row r="263" spans="1:3" s="7" customFormat="1" x14ac:dyDescent="0.25">
      <c r="A263" s="11"/>
      <c r="B263" s="8"/>
      <c r="C263" s="8"/>
    </row>
    <row r="264" spans="1:3" s="7" customFormat="1" x14ac:dyDescent="0.25">
      <c r="A264" s="11"/>
      <c r="B264" s="8"/>
      <c r="C264" s="8"/>
    </row>
    <row r="265" spans="1:3" s="7" customFormat="1" x14ac:dyDescent="0.25">
      <c r="A265" s="11"/>
      <c r="B265" s="8"/>
      <c r="C265" s="8"/>
    </row>
    <row r="266" spans="1:3" s="7" customFormat="1" x14ac:dyDescent="0.25">
      <c r="A266" s="11"/>
      <c r="B266" s="8"/>
      <c r="C266" s="8"/>
    </row>
    <row r="267" spans="1:3" s="7" customFormat="1" x14ac:dyDescent="0.25">
      <c r="A267" s="11"/>
      <c r="B267" s="8"/>
      <c r="C267" s="8"/>
    </row>
    <row r="268" spans="1:3" s="7" customFormat="1" x14ac:dyDescent="0.25">
      <c r="A268" s="11"/>
      <c r="B268" s="8"/>
      <c r="C268" s="8"/>
    </row>
    <row r="269" spans="1:3" s="7" customFormat="1" x14ac:dyDescent="0.25">
      <c r="A269" s="11"/>
      <c r="B269" s="8"/>
      <c r="C269" s="8"/>
    </row>
    <row r="270" spans="1:3" s="7" customFormat="1" x14ac:dyDescent="0.25">
      <c r="A270" s="11"/>
      <c r="B270" s="8"/>
      <c r="C270" s="8"/>
    </row>
    <row r="271" spans="1:3" s="7" customFormat="1" x14ac:dyDescent="0.25">
      <c r="A271" s="11"/>
      <c r="B271" s="8"/>
      <c r="C271" s="8"/>
    </row>
    <row r="272" spans="1:3" s="7" customFormat="1" x14ac:dyDescent="0.25">
      <c r="A272" s="11"/>
      <c r="B272" s="8"/>
      <c r="C272" s="8"/>
    </row>
    <row r="273" spans="1:3" s="7" customFormat="1" x14ac:dyDescent="0.25">
      <c r="A273" s="11"/>
      <c r="B273" s="8"/>
      <c r="C273" s="8"/>
    </row>
    <row r="274" spans="1:3" s="7" customFormat="1" x14ac:dyDescent="0.25">
      <c r="A274" s="11"/>
    </row>
  </sheetData>
  <printOptions headings="1" gridLines="1"/>
  <pageMargins left="0.70866141732283472" right="0.70866141732283472" top="0.74803149606299213" bottom="0.7480314960629921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2"/>
  <sheetViews>
    <sheetView showGridLines="0" showRowColHeaders="0" workbookViewId="0"/>
  </sheetViews>
  <sheetFormatPr baseColWidth="10" defaultColWidth="9.140625" defaultRowHeight="15" x14ac:dyDescent="0.25"/>
  <cols>
    <col min="1" max="1" width="100.7109375" style="14" customWidth="1"/>
  </cols>
  <sheetData>
    <row r="1" spans="1:1" x14ac:dyDescent="0.25">
      <c r="A1" s="1" t="s">
        <v>19</v>
      </c>
    </row>
    <row r="2" spans="1:1" ht="36" x14ac:dyDescent="0.25">
      <c r="A2" s="15"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4</vt:i4>
      </vt:variant>
    </vt:vector>
  </HeadingPairs>
  <TitlesOfParts>
    <vt:vector size="7" baseType="lpstr">
      <vt:lpstr>Feuil1</vt:lpstr>
      <vt:lpstr>Data</vt:lpstr>
      <vt:lpstr>Notes</vt:lpstr>
      <vt:lpstr>ARBAMPCCCR</vt:lpstr>
      <vt:lpstr>ARBAMPCNCRT</vt:lpstr>
      <vt:lpstr>Data!Impression_des_titres</vt:lpstr>
      <vt:lpstr>Data!Zone_d_impression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2024-11-05T23:06:17Z</dcterms:created>
  <dcterms:modified xsi:type="dcterms:W3CDTF">2024-11-20T00:34:19Z</dcterms:modified>
</cp:coreProperties>
</file>