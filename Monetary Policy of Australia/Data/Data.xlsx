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Master_Economie\Master_1\Central_banking_assignement\All plot\"/>
    </mc:Choice>
  </mc:AlternateContent>
  <xr:revisionPtr revIDLastSave="0" documentId="13_ncr:1_{6267D979-0A47-499B-8715-AB948D57268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3" r:id="rId1"/>
    <sheet name="Feuil1" sheetId="2" r:id="rId2"/>
    <sheet name="Tabelle1" sheetId="1" r:id="rId3"/>
    <sheet name="Feuil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7" i="2" l="1"/>
  <c r="F107" i="2"/>
  <c r="E107" i="2"/>
  <c r="D107" i="2"/>
  <c r="E106" i="2"/>
  <c r="D106" i="2"/>
  <c r="F106" i="2" s="1"/>
  <c r="E105" i="2"/>
  <c r="D105" i="2"/>
  <c r="F105" i="2" s="1"/>
  <c r="F104" i="2"/>
  <c r="E104" i="2"/>
  <c r="D104" i="2"/>
  <c r="F103" i="2"/>
  <c r="E103" i="2"/>
  <c r="D103" i="2"/>
  <c r="F102" i="2"/>
  <c r="E102" i="2"/>
  <c r="D102" i="2"/>
  <c r="H102" i="2" s="1"/>
  <c r="E101" i="2"/>
  <c r="D101" i="2"/>
  <c r="F101" i="2" s="1"/>
  <c r="E100" i="2"/>
  <c r="F100" i="2" s="1"/>
  <c r="D100" i="2"/>
  <c r="E99" i="2"/>
  <c r="D99" i="2"/>
  <c r="F99" i="2" s="1"/>
  <c r="F98" i="2"/>
  <c r="E98" i="2"/>
  <c r="D98" i="2"/>
  <c r="E97" i="2"/>
  <c r="D97" i="2"/>
  <c r="F97" i="2" s="1"/>
  <c r="E96" i="2"/>
  <c r="F96" i="2" s="1"/>
  <c r="D96" i="2"/>
  <c r="H94" i="2" s="1"/>
  <c r="E95" i="2"/>
  <c r="D95" i="2"/>
  <c r="F95" i="2" s="1"/>
  <c r="E94" i="2"/>
  <c r="D94" i="2"/>
  <c r="F94" i="2" s="1"/>
  <c r="G94" i="2" s="1"/>
  <c r="H93" i="2"/>
  <c r="F93" i="2"/>
  <c r="G93" i="2" s="1"/>
  <c r="E93" i="2"/>
  <c r="D93" i="2"/>
  <c r="E92" i="2"/>
  <c r="D92" i="2"/>
  <c r="F92" i="2" s="1"/>
  <c r="E91" i="2"/>
  <c r="D91" i="2"/>
  <c r="F91" i="2" s="1"/>
  <c r="E90" i="2"/>
  <c r="F90" i="2" s="1"/>
  <c r="G90" i="2" s="1"/>
  <c r="D90" i="2"/>
  <c r="H90" i="2" s="1"/>
  <c r="E89" i="2"/>
  <c r="D89" i="2"/>
  <c r="F89" i="2" s="1"/>
  <c r="F88" i="2"/>
  <c r="E88" i="2"/>
  <c r="D88" i="2"/>
  <c r="E87" i="2"/>
  <c r="D87" i="2"/>
  <c r="H87" i="2" s="1"/>
  <c r="H86" i="2"/>
  <c r="E86" i="2"/>
  <c r="D86" i="2"/>
  <c r="F86" i="2" s="1"/>
  <c r="G86" i="2" s="1"/>
  <c r="E85" i="2"/>
  <c r="D85" i="2"/>
  <c r="H85" i="2" s="1"/>
  <c r="E84" i="2"/>
  <c r="F84" i="2" s="1"/>
  <c r="D84" i="2"/>
  <c r="H83" i="2" s="1"/>
  <c r="E83" i="2"/>
  <c r="F83" i="2" s="1"/>
  <c r="G83" i="2" s="1"/>
  <c r="D83" i="2"/>
  <c r="E82" i="2"/>
  <c r="D82" i="2"/>
  <c r="F82" i="2" s="1"/>
  <c r="H81" i="2"/>
  <c r="F81" i="2"/>
  <c r="G81" i="2" s="1"/>
  <c r="E81" i="2"/>
  <c r="D81" i="2"/>
  <c r="F80" i="2"/>
  <c r="G80" i="2" s="1"/>
  <c r="E80" i="2"/>
  <c r="D80" i="2"/>
  <c r="H80" i="2" s="1"/>
  <c r="E79" i="2"/>
  <c r="D79" i="2"/>
  <c r="F79" i="2" s="1"/>
  <c r="G78" i="2" s="1"/>
  <c r="H78" i="2"/>
  <c r="F78" i="2"/>
  <c r="E78" i="2"/>
  <c r="D78" i="2"/>
  <c r="E77" i="2"/>
  <c r="F77" i="2" s="1"/>
  <c r="D77" i="2"/>
  <c r="E76" i="2"/>
  <c r="D76" i="2"/>
  <c r="F76" i="2" s="1"/>
  <c r="E75" i="2"/>
  <c r="D75" i="2"/>
  <c r="H74" i="2" s="1"/>
  <c r="E74" i="2"/>
  <c r="D74" i="2"/>
  <c r="F74" i="2" s="1"/>
  <c r="E73" i="2"/>
  <c r="D73" i="2"/>
  <c r="F73" i="2" s="1"/>
  <c r="E72" i="2"/>
  <c r="F72" i="2" s="1"/>
  <c r="G72" i="2" s="1"/>
  <c r="D72" i="2"/>
  <c r="H72" i="2" s="1"/>
  <c r="E71" i="2"/>
  <c r="D71" i="2"/>
  <c r="F71" i="2" s="1"/>
  <c r="F70" i="2"/>
  <c r="E70" i="2"/>
  <c r="D70" i="2"/>
  <c r="E69" i="2"/>
  <c r="D69" i="2"/>
  <c r="F69" i="2" s="1"/>
  <c r="G68" i="2" s="1"/>
  <c r="H68" i="2"/>
  <c r="F68" i="2"/>
  <c r="E68" i="2"/>
  <c r="D68" i="2"/>
  <c r="E67" i="2"/>
  <c r="F67" i="2" s="1"/>
  <c r="D67" i="2"/>
  <c r="E66" i="2"/>
  <c r="D66" i="2"/>
  <c r="F66" i="2" s="1"/>
  <c r="E65" i="2"/>
  <c r="D65" i="2"/>
  <c r="F65" i="2" s="1"/>
  <c r="F64" i="2"/>
  <c r="E64" i="2"/>
  <c r="D64" i="2"/>
  <c r="E63" i="2"/>
  <c r="D63" i="2"/>
  <c r="H63" i="2" s="1"/>
  <c r="E62" i="2"/>
  <c r="D62" i="2"/>
  <c r="F62" i="2" s="1"/>
  <c r="F61" i="2"/>
  <c r="E61" i="2"/>
  <c r="D61" i="2"/>
  <c r="E60" i="2"/>
  <c r="D60" i="2"/>
  <c r="F60" i="2" s="1"/>
  <c r="E59" i="2"/>
  <c r="D59" i="2"/>
  <c r="F59" i="2" s="1"/>
  <c r="E58" i="2"/>
  <c r="D58" i="2"/>
  <c r="F58" i="2" s="1"/>
  <c r="H57" i="2"/>
  <c r="E57" i="2"/>
  <c r="D57" i="2"/>
  <c r="F57" i="2" s="1"/>
  <c r="F56" i="2"/>
  <c r="E56" i="2"/>
  <c r="D56" i="2"/>
  <c r="E55" i="2"/>
  <c r="D55" i="2"/>
  <c r="F55" i="2" s="1"/>
  <c r="G55" i="2" s="1"/>
  <c r="F54" i="2"/>
  <c r="E54" i="2"/>
  <c r="D54" i="2"/>
  <c r="E53" i="2"/>
  <c r="F53" i="2" s="1"/>
  <c r="D53" i="2"/>
  <c r="E52" i="2"/>
  <c r="D52" i="2"/>
  <c r="H52" i="2" s="1"/>
  <c r="H51" i="2"/>
  <c r="E51" i="2"/>
  <c r="D51" i="2"/>
  <c r="F51" i="2" s="1"/>
  <c r="G51" i="2" s="1"/>
  <c r="H50" i="2"/>
  <c r="E50" i="2"/>
  <c r="D50" i="2"/>
  <c r="G50" i="2" s="1"/>
  <c r="H49" i="2"/>
  <c r="F49" i="2"/>
  <c r="E49" i="2"/>
  <c r="D49" i="2"/>
  <c r="E48" i="2"/>
  <c r="D48" i="2"/>
  <c r="F48" i="2" s="1"/>
  <c r="E47" i="2"/>
  <c r="D47" i="2"/>
  <c r="H47" i="2" s="1"/>
  <c r="E46" i="2"/>
  <c r="D46" i="2"/>
  <c r="F46" i="2" s="1"/>
  <c r="E45" i="2"/>
  <c r="D45" i="2"/>
  <c r="F45" i="2" s="1"/>
  <c r="F44" i="2"/>
  <c r="E44" i="2"/>
  <c r="D44" i="2"/>
  <c r="E43" i="2"/>
  <c r="D43" i="2"/>
  <c r="F43" i="2" s="1"/>
  <c r="E42" i="2"/>
  <c r="D42" i="2"/>
  <c r="H41" i="2" s="1"/>
  <c r="E41" i="2"/>
  <c r="F41" i="2" s="1"/>
  <c r="D41" i="2"/>
  <c r="E40" i="2"/>
  <c r="D40" i="2"/>
  <c r="F40" i="2" s="1"/>
  <c r="E39" i="2"/>
  <c r="D39" i="2"/>
  <c r="F39" i="2" s="1"/>
  <c r="F38" i="2"/>
  <c r="E38" i="2"/>
  <c r="D38" i="2"/>
  <c r="E37" i="2"/>
  <c r="D37" i="2"/>
  <c r="H37" i="2" s="1"/>
  <c r="E36" i="2"/>
  <c r="D36" i="2"/>
  <c r="F36" i="2" s="1"/>
  <c r="G36" i="2" s="1"/>
  <c r="H35" i="2"/>
  <c r="E35" i="2"/>
  <c r="F35" i="2" s="1"/>
  <c r="G35" i="2" s="1"/>
  <c r="D35" i="2"/>
  <c r="E34" i="2"/>
  <c r="D34" i="2"/>
  <c r="F34" i="2" s="1"/>
  <c r="H33" i="2"/>
  <c r="F33" i="2"/>
  <c r="G33" i="2" s="1"/>
  <c r="E33" i="2"/>
  <c r="D33" i="2"/>
  <c r="E32" i="2"/>
  <c r="D32" i="2"/>
  <c r="F32" i="2" s="1"/>
  <c r="E31" i="2"/>
  <c r="D31" i="2"/>
  <c r="F31" i="2" s="1"/>
  <c r="E30" i="2"/>
  <c r="D30" i="2"/>
  <c r="H30" i="2" s="1"/>
  <c r="H29" i="2"/>
  <c r="E29" i="2"/>
  <c r="F29" i="2" s="1"/>
  <c r="G29" i="2" s="1"/>
  <c r="D29" i="2"/>
  <c r="E28" i="2"/>
  <c r="D28" i="2"/>
  <c r="F28" i="2" s="1"/>
  <c r="H27" i="2"/>
  <c r="F27" i="2"/>
  <c r="G27" i="2" s="1"/>
  <c r="E27" i="2"/>
  <c r="D27" i="2"/>
  <c r="E26" i="2"/>
  <c r="D26" i="2"/>
  <c r="F26" i="2" s="1"/>
  <c r="E25" i="2"/>
  <c r="D25" i="2"/>
  <c r="H25" i="2" s="1"/>
  <c r="E24" i="2"/>
  <c r="D24" i="2"/>
  <c r="F24" i="2" s="1"/>
  <c r="E23" i="2"/>
  <c r="D23" i="2"/>
  <c r="F23" i="2" s="1"/>
  <c r="E22" i="2"/>
  <c r="D22" i="2"/>
  <c r="H22" i="2" s="1"/>
  <c r="E21" i="2"/>
  <c r="G57" i="2" l="1"/>
  <c r="G102" i="2"/>
  <c r="G49" i="2"/>
  <c r="F30" i="2"/>
  <c r="G30" i="2" s="1"/>
  <c r="F87" i="2"/>
  <c r="G87" i="2" s="1"/>
  <c r="H36" i="2"/>
  <c r="F52" i="2"/>
  <c r="G52" i="2" s="1"/>
  <c r="F25" i="2"/>
  <c r="G25" i="2" s="1"/>
  <c r="F47" i="2"/>
  <c r="G47" i="2" s="1"/>
  <c r="H55" i="2"/>
  <c r="F85" i="2"/>
  <c r="G85" i="2" s="1"/>
  <c r="F22" i="2"/>
  <c r="G22" i="2" s="1"/>
  <c r="F50" i="2"/>
  <c r="F37" i="2"/>
  <c r="G37" i="2" s="1"/>
  <c r="F63" i="2"/>
  <c r="G63" i="2" s="1"/>
  <c r="F42" i="2"/>
  <c r="G41" i="2" s="1"/>
  <c r="F75" i="2"/>
  <c r="G74" i="2" s="1"/>
</calcChain>
</file>

<file path=xl/sharedStrings.xml><?xml version="1.0" encoding="utf-8"?>
<sst xmlns="http://schemas.openxmlformats.org/spreadsheetml/2006/main" count="86" uniqueCount="76">
  <si>
    <t>Year</t>
  </si>
  <si>
    <t>Outputgap</t>
  </si>
  <si>
    <t>Inflation</t>
  </si>
  <si>
    <t>CashRate</t>
  </si>
  <si>
    <t>CashRateLag</t>
  </si>
  <si>
    <t>A2 RESERVE BANK OF AUSTRALIA – MONETARY POLICY CHANGES</t>
  </si>
  <si>
    <t>Title</t>
  </si>
  <si>
    <t>Change in Cash Rate Target</t>
  </si>
  <si>
    <t>New Cash Rate Target</t>
  </si>
  <si>
    <t>Description</t>
  </si>
  <si>
    <t>Change in Cash Rate Target (in percentage points)</t>
  </si>
  <si>
    <t>The Cash Rate Target As Announced</t>
  </si>
  <si>
    <t>Frequency</t>
  </si>
  <si>
    <t>As announced</t>
  </si>
  <si>
    <t>Type</t>
  </si>
  <si>
    <t>Original</t>
  </si>
  <si>
    <t>Units</t>
  </si>
  <si>
    <t>Per cent</t>
  </si>
  <si>
    <t>Source</t>
  </si>
  <si>
    <t>RBA</t>
  </si>
  <si>
    <t>Publication date</t>
  </si>
  <si>
    <t>Series ID</t>
  </si>
  <si>
    <t>ARBAMPCCCR</t>
  </si>
  <si>
    <t>ARBAMPCNCRT</t>
  </si>
  <si>
    <t>-0.50 to -1.00</t>
  </si>
  <si>
    <t>17.00 to 17.50</t>
  </si>
  <si>
    <t>16.50 to 17.00</t>
  </si>
  <si>
    <t>-1.00 to -1.50</t>
  </si>
  <si>
    <t>15.00 to 15.50</t>
  </si>
  <si>
    <t>Country</t>
  </si>
  <si>
    <t>Subject Descriptor</t>
  </si>
  <si>
    <t>Scale</t>
  </si>
  <si>
    <t>Country/Series-specific Notes</t>
  </si>
  <si>
    <t>Estimates Start After</t>
  </si>
  <si>
    <t>Australia</t>
  </si>
  <si>
    <t>Output gap in percent of potential GDP</t>
  </si>
  <si>
    <t>Percent of potential GDP</t>
  </si>
  <si>
    <t>See notes for:  Gross domestic product, constant prices (National currency).</t>
  </si>
  <si>
    <t>0.159</t>
  </si>
  <si>
    <t>0.911</t>
  </si>
  <si>
    <t>-0.113</t>
  </si>
  <si>
    <t>-0.350</t>
  </si>
  <si>
    <t>0.538</t>
  </si>
  <si>
    <t>-0.881</t>
  </si>
  <si>
    <t>-0.907</t>
  </si>
  <si>
    <t>-0.172</t>
  </si>
  <si>
    <t>0.605</t>
  </si>
  <si>
    <t>0.600</t>
  </si>
  <si>
    <t>-0.334</t>
  </si>
  <si>
    <t>0.200</t>
  </si>
  <si>
    <t>-0.186</t>
  </si>
  <si>
    <t>0.509</t>
  </si>
  <si>
    <t>0.305</t>
  </si>
  <si>
    <t>-0.197</t>
  </si>
  <si>
    <t>0.892</t>
  </si>
  <si>
    <t>0.428</t>
  </si>
  <si>
    <t>-0.585</t>
  </si>
  <si>
    <t>-0.988</t>
  </si>
  <si>
    <t>-0.443</t>
  </si>
  <si>
    <t>-0.919</t>
  </si>
  <si>
    <t>-0.658</t>
  </si>
  <si>
    <t>-0.517</t>
  </si>
  <si>
    <t>0.408</t>
  </si>
  <si>
    <t>0.018</t>
  </si>
  <si>
    <t>n/a</t>
  </si>
  <si>
    <t>Source : WEO data</t>
  </si>
  <si>
    <t>FRED Graph Observations</t>
  </si>
  <si>
    <t>Federal Reserve Economic Data</t>
  </si>
  <si>
    <t>Link: https://fred.stlouisfed.org</t>
  </si>
  <si>
    <t>Help: https://fredhelp.stlouisfed.org</t>
  </si>
  <si>
    <t>Economic Research Division</t>
  </si>
  <si>
    <t>Federal Reserve Bank of St. Louis</t>
  </si>
  <si>
    <t>FPCPITOTLZGAUS</t>
  </si>
  <si>
    <t>Inflation, consumer prices for Australia, Percent, Annual, Not Seasonally Adjusted</t>
  </si>
  <si>
    <t>Frequency: Annual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</si>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</sst>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dd\-mmm\-yyyy"/>
    <numFmt numFmtId="166" formatCode="d\-mmm\-yyyy"/>
    <numFmt numFmtId="167" formatCode="[&lt;0]\-0.00;[&gt;0]\+0.00;General"/>
    <numFmt numFmtId="172" formatCode="yyyy\-mm\-dd"/>
    <numFmt numFmtId="173" formatCode="0.0000000000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ptos Narrow"/>
    </font>
    <font>
      <sz val="10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8" fillId="0" borderId="0"/>
  </cellStyleXfs>
  <cellXfs count="25">
    <xf numFmtId="0" fontId="0" fillId="0" borderId="0" xfId="0"/>
    <xf numFmtId="10" fontId="0" fillId="0" borderId="0" xfId="1" applyNumberFormat="1" applyFont="1"/>
    <xf numFmtId="0" fontId="2" fillId="0" borderId="0" xfId="0" applyFont="1"/>
    <xf numFmtId="10" fontId="2" fillId="0" borderId="0" xfId="0" applyNumberFormat="1" applyFont="1"/>
    <xf numFmtId="0" fontId="4" fillId="0" borderId="0" xfId="2" applyFont="1" applyAlignment="1">
      <alignment horizontal="left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5" fillId="0" borderId="0" xfId="0" applyFont="1"/>
    <xf numFmtId="0" fontId="7" fillId="0" borderId="0" xfId="0" applyFont="1" applyAlignment="1">
      <alignment horizontal="left" vertical="center" wrapText="1"/>
    </xf>
    <xf numFmtId="165" fontId="5" fillId="0" borderId="0" xfId="0" applyNumberFormat="1" applyFont="1" applyAlignment="1">
      <alignment horizontal="left" wrapText="1"/>
    </xf>
    <xf numFmtId="0" fontId="7" fillId="0" borderId="0" xfId="2" applyFont="1" applyAlignment="1">
      <alignment horizontal="left" wrapText="1"/>
    </xf>
    <xf numFmtId="166" fontId="7" fillId="0" borderId="0" xfId="3" applyNumberFormat="1" applyFont="1" applyAlignment="1">
      <alignment horizontal="right"/>
    </xf>
    <xf numFmtId="167" fontId="7" fillId="0" borderId="0" xfId="3" quotePrefix="1" applyNumberFormat="1" applyFont="1" applyAlignment="1">
      <alignment horizontal="right"/>
    </xf>
    <xf numFmtId="2" fontId="7" fillId="0" borderId="0" xfId="3" applyNumberFormat="1" applyFont="1" applyAlignment="1">
      <alignment horizontal="right"/>
    </xf>
    <xf numFmtId="0" fontId="6" fillId="0" borderId="0" xfId="0" applyFont="1" applyAlignment="1">
      <alignment horizontal="right"/>
    </xf>
    <xf numFmtId="165" fontId="7" fillId="0" borderId="0" xfId="3" applyNumberFormat="1" applyFont="1" applyAlignment="1">
      <alignment horizontal="right"/>
    </xf>
    <xf numFmtId="167" fontId="7" fillId="0" borderId="0" xfId="3" applyNumberFormat="1" applyFont="1" applyAlignment="1">
      <alignment horizontal="right"/>
    </xf>
    <xf numFmtId="10" fontId="6" fillId="0" borderId="0" xfId="1" applyNumberFormat="1" applyFont="1" applyAlignment="1">
      <alignment horizontal="right"/>
    </xf>
    <xf numFmtId="10" fontId="6" fillId="0" borderId="0" xfId="0" applyNumberFormat="1" applyFont="1" applyAlignment="1">
      <alignment horizontal="right"/>
    </xf>
    <xf numFmtId="10" fontId="6" fillId="0" borderId="0" xfId="1" applyNumberFormat="1" applyFont="1" applyFill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/>
    <xf numFmtId="0" fontId="8" fillId="0" borderId="0" xfId="4"/>
    <xf numFmtId="172" fontId="8" fillId="0" borderId="0" xfId="4" applyNumberFormat="1"/>
    <xf numFmtId="173" fontId="8" fillId="0" borderId="0" xfId="4" applyNumberFormat="1"/>
  </cellXfs>
  <cellStyles count="5">
    <cellStyle name="Normal" xfId="0" builtinId="0"/>
    <cellStyle name="Normal 2" xfId="2" xr:uid="{340B8E9A-AA0B-4FD1-868C-5F3163C1F835}"/>
    <cellStyle name="Normal 3" xfId="3" xr:uid="{43A90098-B579-41D5-84B5-D7E28A177A65}"/>
    <cellStyle name="Normal 4" xfId="4" xr:uid="{F63DE19E-0FC6-421B-82B5-9A19E6D6B020}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2A90-1D80-422F-A369-1DC3E34CECE1}">
  <dimension ref="A1:E32"/>
  <sheetViews>
    <sheetView tabSelected="1" workbookViewId="0">
      <selection activeCell="O14" sqref="O14"/>
    </sheetView>
  </sheetViews>
  <sheetFormatPr baseColWidth="10" defaultRowHeight="15" x14ac:dyDescent="0.25"/>
  <cols>
    <col min="5" max="5" width="12.285156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2">
        <v>1994</v>
      </c>
      <c r="B2" s="3">
        <v>-8.8000000000000005E-3</v>
      </c>
      <c r="C2" s="1">
        <v>1.9696347968814101E-2</v>
      </c>
      <c r="D2" s="1">
        <v>0.06</v>
      </c>
      <c r="E2" s="1">
        <v>0.05</v>
      </c>
    </row>
    <row r="3" spans="1:5" x14ac:dyDescent="0.25">
      <c r="A3" s="2">
        <v>1995</v>
      </c>
      <c r="B3" s="3">
        <v>-1.2E-2</v>
      </c>
      <c r="C3" s="1">
        <v>4.6277665995975895E-2</v>
      </c>
      <c r="D3" s="1">
        <v>7.4999999999999997E-2</v>
      </c>
      <c r="E3" s="1">
        <v>0.06</v>
      </c>
    </row>
    <row r="4" spans="1:5" x14ac:dyDescent="0.25">
      <c r="A4" s="2">
        <v>1996</v>
      </c>
      <c r="B4" s="3">
        <v>-9.1000000000000004E-3</v>
      </c>
      <c r="C4" s="1">
        <v>2.61538461538461E-2</v>
      </c>
      <c r="D4" s="1">
        <v>6.5000000000000002E-2</v>
      </c>
      <c r="E4" s="1">
        <v>7.4999999999999997E-2</v>
      </c>
    </row>
    <row r="5" spans="1:5" x14ac:dyDescent="0.25">
      <c r="A5" s="2">
        <v>1997</v>
      </c>
      <c r="B5" s="3">
        <v>-1.6999999999999999E-3</v>
      </c>
      <c r="C5" s="1">
        <v>2.24887556221887E-3</v>
      </c>
      <c r="D5" s="1">
        <v>5.2500000000000005E-2</v>
      </c>
      <c r="E5" s="1">
        <v>6.5000000000000002E-2</v>
      </c>
    </row>
    <row r="6" spans="1:5" x14ac:dyDescent="0.25">
      <c r="A6" s="2">
        <v>1998</v>
      </c>
      <c r="B6" s="3">
        <v>6.1000000000000004E-3</v>
      </c>
      <c r="C6" s="1">
        <v>8.6013462976814205E-3</v>
      </c>
      <c r="D6" s="1">
        <v>4.7500000000000001E-2</v>
      </c>
      <c r="E6" s="1">
        <v>5.2500000000000005E-2</v>
      </c>
    </row>
    <row r="7" spans="1:5" x14ac:dyDescent="0.25">
      <c r="A7" s="2">
        <v>1999</v>
      </c>
      <c r="B7" s="3">
        <v>1.14E-2</v>
      </c>
      <c r="C7" s="1">
        <v>1.4831294030404101E-2</v>
      </c>
      <c r="D7" s="1">
        <v>0.05</v>
      </c>
      <c r="E7" s="1">
        <v>4.7500000000000001E-2</v>
      </c>
    </row>
    <row r="8" spans="1:5" x14ac:dyDescent="0.25">
      <c r="A8" s="2">
        <v>2000</v>
      </c>
      <c r="B8" s="3">
        <v>6.0000000000000001E-3</v>
      </c>
      <c r="C8" s="1">
        <v>4.4574351479722399E-2</v>
      </c>
      <c r="D8" s="1">
        <v>5.8749999999999997E-2</v>
      </c>
      <c r="E8" s="1">
        <v>0.05</v>
      </c>
    </row>
    <row r="9" spans="1:5" x14ac:dyDescent="0.25">
      <c r="A9" s="2">
        <v>2001</v>
      </c>
      <c r="B9" s="3">
        <v>-3.3E-3</v>
      </c>
      <c r="C9" s="1">
        <v>4.4071353620146893E-2</v>
      </c>
      <c r="D9" s="1">
        <v>4.9583333333333333E-2</v>
      </c>
      <c r="E9" s="1">
        <v>5.8749999999999997E-2</v>
      </c>
    </row>
    <row r="10" spans="1:5" x14ac:dyDescent="0.25">
      <c r="A10" s="2">
        <v>2002</v>
      </c>
      <c r="B10" s="3">
        <v>2E-3</v>
      </c>
      <c r="C10" s="1">
        <v>2.98157453936348E-2</v>
      </c>
      <c r="D10" s="1">
        <v>4.6249999999999999E-2</v>
      </c>
      <c r="E10" s="1">
        <v>4.9583333333333333E-2</v>
      </c>
    </row>
    <row r="11" spans="1:5" x14ac:dyDescent="0.25">
      <c r="A11" s="2">
        <v>2003</v>
      </c>
      <c r="B11" s="3">
        <v>-1.9E-3</v>
      </c>
      <c r="C11" s="1">
        <v>2.7325959661678598E-2</v>
      </c>
      <c r="D11" s="1">
        <v>0.05</v>
      </c>
      <c r="E11" s="1">
        <v>4.6249999999999999E-2</v>
      </c>
    </row>
    <row r="12" spans="1:5" x14ac:dyDescent="0.25">
      <c r="A12" s="2">
        <v>2004</v>
      </c>
      <c r="B12" s="3">
        <v>5.1000000000000004E-3</v>
      </c>
      <c r="C12" s="1">
        <v>2.3432552248258302E-2</v>
      </c>
      <c r="D12" s="1">
        <v>5.2499999999999998E-2</v>
      </c>
      <c r="E12" s="1">
        <v>0.05</v>
      </c>
    </row>
    <row r="13" spans="1:5" x14ac:dyDescent="0.25">
      <c r="A13" s="2">
        <v>2005</v>
      </c>
      <c r="B13" s="3">
        <v>3.0999999999999999E-3</v>
      </c>
      <c r="C13" s="1">
        <v>2.6918316831683203E-2</v>
      </c>
      <c r="D13" s="1">
        <v>5.5E-2</v>
      </c>
      <c r="E13" s="1">
        <v>5.2499999999999998E-2</v>
      </c>
    </row>
    <row r="14" spans="1:5" x14ac:dyDescent="0.25">
      <c r="A14" s="2">
        <v>2006</v>
      </c>
      <c r="B14" s="3">
        <v>-2E-3</v>
      </c>
      <c r="C14" s="1">
        <v>3.5552877372702602E-2</v>
      </c>
      <c r="D14" s="1">
        <v>0.06</v>
      </c>
      <c r="E14" s="1">
        <v>5.5E-2</v>
      </c>
    </row>
    <row r="15" spans="1:5" x14ac:dyDescent="0.25">
      <c r="A15" s="2">
        <v>2007</v>
      </c>
      <c r="B15" s="3">
        <v>8.8999999999999999E-3</v>
      </c>
      <c r="C15" s="1">
        <v>2.3276112889147601E-2</v>
      </c>
      <c r="D15" s="1">
        <v>6.6250000000000003E-2</v>
      </c>
      <c r="E15" s="1">
        <v>0.06</v>
      </c>
    </row>
    <row r="16" spans="1:5" x14ac:dyDescent="0.25">
      <c r="A16" s="2">
        <v>2008</v>
      </c>
      <c r="B16" s="3">
        <v>4.3E-3</v>
      </c>
      <c r="C16" s="1">
        <v>4.3502985499004804E-2</v>
      </c>
      <c r="D16" s="1">
        <v>6.1249999999999999E-2</v>
      </c>
      <c r="E16" s="1">
        <v>6.6250000000000003E-2</v>
      </c>
    </row>
    <row r="17" spans="1:5" x14ac:dyDescent="0.25">
      <c r="A17" s="2">
        <v>2009</v>
      </c>
      <c r="B17" s="3">
        <v>-5.8999999999999999E-3</v>
      </c>
      <c r="C17" s="1">
        <v>1.7711171662125401E-2</v>
      </c>
      <c r="D17" s="1">
        <v>3.3500000000000002E-2</v>
      </c>
      <c r="E17" s="1">
        <v>6.1249999999999999E-2</v>
      </c>
    </row>
    <row r="18" spans="1:5" x14ac:dyDescent="0.25">
      <c r="A18" s="2">
        <v>2010</v>
      </c>
      <c r="B18" s="3">
        <v>-9.9000000000000008E-3</v>
      </c>
      <c r="C18" s="1">
        <v>2.9183400267737598E-2</v>
      </c>
      <c r="D18" s="1">
        <v>4.3749999999999997E-2</v>
      </c>
      <c r="E18" s="1">
        <v>3.3500000000000002E-2</v>
      </c>
    </row>
    <row r="19" spans="1:5" x14ac:dyDescent="0.25">
      <c r="A19" s="2">
        <v>2011</v>
      </c>
      <c r="B19" s="3">
        <v>-1.12E-2</v>
      </c>
      <c r="C19" s="1">
        <v>3.3038501560873998E-2</v>
      </c>
      <c r="D19" s="1">
        <v>4.3749999999999997E-2</v>
      </c>
      <c r="E19" s="1">
        <v>4.3749999999999997E-2</v>
      </c>
    </row>
    <row r="20" spans="1:5" x14ac:dyDescent="0.25">
      <c r="A20" s="2">
        <v>2012</v>
      </c>
      <c r="B20" s="3">
        <v>-4.4000000000000003E-3</v>
      </c>
      <c r="C20" s="1">
        <v>1.76278015613196E-2</v>
      </c>
      <c r="D20" s="1">
        <v>3.3750000000000002E-2</v>
      </c>
      <c r="E20" s="1">
        <v>4.3749999999999997E-2</v>
      </c>
    </row>
    <row r="21" spans="1:5" x14ac:dyDescent="0.25">
      <c r="A21" s="2">
        <v>2013</v>
      </c>
      <c r="B21" s="3">
        <v>-9.1999999999999998E-3</v>
      </c>
      <c r="C21" s="1">
        <v>2.4498886414254E-2</v>
      </c>
      <c r="D21" s="1">
        <v>2.6250000000000002E-2</v>
      </c>
      <c r="E21" s="1">
        <v>3.3750000000000002E-2</v>
      </c>
    </row>
    <row r="22" spans="1:5" x14ac:dyDescent="0.25">
      <c r="A22" s="2">
        <v>2014</v>
      </c>
      <c r="B22" s="3">
        <v>-1.0699999999999999E-2</v>
      </c>
      <c r="C22" s="1">
        <v>2.4879227053140399E-2</v>
      </c>
      <c r="D22" s="1">
        <v>2.5000000000000001E-2</v>
      </c>
      <c r="E22" s="1">
        <v>2.6250000000000002E-2</v>
      </c>
    </row>
    <row r="23" spans="1:5" x14ac:dyDescent="0.25">
      <c r="A23" s="2">
        <v>2015</v>
      </c>
      <c r="B23" s="3">
        <v>-1.46E-2</v>
      </c>
      <c r="C23" s="1">
        <v>1.50836672165921E-2</v>
      </c>
      <c r="D23" s="1">
        <v>2.1249999999999998E-2</v>
      </c>
      <c r="E23" s="1">
        <v>2.5000000000000001E-2</v>
      </c>
    </row>
    <row r="24" spans="1:5" x14ac:dyDescent="0.25">
      <c r="A24" s="2">
        <v>2016</v>
      </c>
      <c r="B24" s="3">
        <v>-1.09E-2</v>
      </c>
      <c r="C24" s="1">
        <v>1.27699094497324E-2</v>
      </c>
      <c r="D24" s="1">
        <v>1.6250000000000001E-2</v>
      </c>
      <c r="E24" s="1">
        <v>2.1249999999999998E-2</v>
      </c>
    </row>
    <row r="25" spans="1:5" x14ac:dyDescent="0.25">
      <c r="A25" s="2">
        <v>2017</v>
      </c>
      <c r="B25" s="3">
        <v>-1.0200000000000001E-2</v>
      </c>
      <c r="C25" s="1">
        <v>1.9486474094452699E-2</v>
      </c>
      <c r="D25" s="1">
        <v>1.4999999999999999E-2</v>
      </c>
      <c r="E25" s="1">
        <v>1.6250000000000001E-2</v>
      </c>
    </row>
    <row r="26" spans="1:5" x14ac:dyDescent="0.25">
      <c r="A26" s="2">
        <v>2018</v>
      </c>
      <c r="B26" s="3">
        <v>-6.6E-3</v>
      </c>
      <c r="C26" s="1">
        <v>1.9114009444569102E-2</v>
      </c>
      <c r="D26" s="1">
        <v>1.4999999999999999E-2</v>
      </c>
      <c r="E26" s="1">
        <v>1.4999999999999999E-2</v>
      </c>
    </row>
    <row r="27" spans="1:5" x14ac:dyDescent="0.25">
      <c r="A27" s="2">
        <v>2019</v>
      </c>
      <c r="B27" s="3">
        <v>-0.01</v>
      </c>
      <c r="C27" s="1">
        <v>1.61076787290379E-2</v>
      </c>
      <c r="D27" s="1">
        <v>0.01</v>
      </c>
      <c r="E27" s="1">
        <v>1.4999999999999999E-2</v>
      </c>
    </row>
    <row r="28" spans="1:5" x14ac:dyDescent="0.25">
      <c r="A28" s="2">
        <v>2020</v>
      </c>
      <c r="B28" s="3">
        <v>-3.8100000000000002E-2</v>
      </c>
      <c r="C28" s="1">
        <v>8.4690553745930489E-3</v>
      </c>
      <c r="D28" s="1">
        <v>2.8333333333333335E-3</v>
      </c>
      <c r="E28" s="1">
        <v>0.01</v>
      </c>
    </row>
    <row r="29" spans="1:5" x14ac:dyDescent="0.25">
      <c r="A29" s="2">
        <v>2021</v>
      </c>
      <c r="B29" s="3">
        <v>-5.1999999999999998E-3</v>
      </c>
      <c r="C29" s="1">
        <v>2.8639104220499402E-2</v>
      </c>
      <c r="D29" s="1">
        <v>1E-3</v>
      </c>
      <c r="E29" s="1">
        <v>2.8333333333333335E-3</v>
      </c>
    </row>
    <row r="30" spans="1:5" x14ac:dyDescent="0.25">
      <c r="A30" s="2">
        <v>2022</v>
      </c>
      <c r="B30" s="3">
        <v>1.2500000000000001E-2</v>
      </c>
      <c r="C30" s="1">
        <v>6.5940967134184597E-2</v>
      </c>
      <c r="D30" s="1">
        <v>2.1857142857142856E-2</v>
      </c>
      <c r="E30" s="1">
        <v>1E-3</v>
      </c>
    </row>
    <row r="31" spans="1:5" x14ac:dyDescent="0.25">
      <c r="A31" s="2">
        <v>2023</v>
      </c>
      <c r="B31" s="3">
        <v>1.24E-2</v>
      </c>
      <c r="C31" s="1">
        <v>5.5970149253730998E-2</v>
      </c>
      <c r="D31" s="1">
        <v>3.85E-2</v>
      </c>
      <c r="E31" s="1">
        <v>2.1857142857142856E-2</v>
      </c>
    </row>
    <row r="32" spans="1:5" x14ac:dyDescent="0.25">
      <c r="D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B533A-8FF9-4A60-8F51-9F5740D079F8}">
  <dimension ref="A1:N274"/>
  <sheetViews>
    <sheetView workbookViewId="0">
      <selection activeCell="B16" sqref="B16"/>
    </sheetView>
  </sheetViews>
  <sheetFormatPr baseColWidth="10" defaultRowHeight="15" x14ac:dyDescent="0.25"/>
  <cols>
    <col min="1" max="1" width="14.7109375" customWidth="1"/>
    <col min="2" max="2" width="42.140625" bestFit="1" customWidth="1"/>
    <col min="3" max="3" width="30" customWidth="1"/>
    <col min="4" max="4" width="9.140625"/>
    <col min="5" max="5" width="10.42578125" bestFit="1" customWidth="1"/>
  </cols>
  <sheetData>
    <row r="1" spans="1:14" x14ac:dyDescent="0.25">
      <c r="A1" s="4" t="s">
        <v>5</v>
      </c>
    </row>
    <row r="2" spans="1:14" x14ac:dyDescent="0.25">
      <c r="A2" s="5" t="s">
        <v>6</v>
      </c>
      <c r="B2" s="5" t="s">
        <v>7</v>
      </c>
      <c r="C2" s="5" t="s">
        <v>8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24.75" x14ac:dyDescent="0.25">
      <c r="A3" s="5" t="s">
        <v>9</v>
      </c>
      <c r="B3" s="7" t="s">
        <v>10</v>
      </c>
      <c r="C3" s="5" t="s">
        <v>11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x14ac:dyDescent="0.25">
      <c r="A4" s="5" t="s">
        <v>12</v>
      </c>
      <c r="B4" s="5" t="s">
        <v>13</v>
      </c>
      <c r="C4" s="5" t="s">
        <v>13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25">
      <c r="A5" s="5" t="s">
        <v>14</v>
      </c>
      <c r="B5" s="5" t="s">
        <v>15</v>
      </c>
      <c r="C5" s="5" t="s">
        <v>15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25">
      <c r="A6" s="5" t="s">
        <v>16</v>
      </c>
      <c r="B6" s="5" t="s">
        <v>17</v>
      </c>
      <c r="C6" s="5" t="s">
        <v>17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25">
      <c r="A7" s="5"/>
      <c r="B7" s="5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5"/>
      <c r="B8" s="5"/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25">
      <c r="A9" s="5" t="s">
        <v>18</v>
      </c>
      <c r="B9" s="8" t="s">
        <v>19</v>
      </c>
      <c r="C9" s="8" t="s">
        <v>19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25">
      <c r="A10" s="5" t="s">
        <v>20</v>
      </c>
      <c r="B10" s="9">
        <v>45601</v>
      </c>
      <c r="C10" s="9">
        <v>45601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25">
      <c r="A11" s="5" t="s">
        <v>21</v>
      </c>
      <c r="B11" s="10" t="s">
        <v>22</v>
      </c>
      <c r="C11" s="10" t="s">
        <v>23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25">
      <c r="A12" s="11">
        <v>32896</v>
      </c>
      <c r="B12" s="12" t="s">
        <v>24</v>
      </c>
      <c r="C12" s="13" t="s">
        <v>25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4" x14ac:dyDescent="0.25">
      <c r="A13" s="15">
        <v>32919</v>
      </c>
      <c r="B13" s="16">
        <v>-0.5</v>
      </c>
      <c r="C13" s="13" t="s">
        <v>26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spans="1:14" x14ac:dyDescent="0.25">
      <c r="A14" s="15">
        <v>32967</v>
      </c>
      <c r="B14" s="12" t="s">
        <v>27</v>
      </c>
      <c r="C14" s="13" t="s">
        <v>28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14" x14ac:dyDescent="0.25">
      <c r="A15" s="15">
        <v>33087</v>
      </c>
      <c r="B15" s="16">
        <v>-1</v>
      </c>
      <c r="C15" s="13">
        <v>14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spans="1:14" x14ac:dyDescent="0.25">
      <c r="A16" s="15">
        <v>33161</v>
      </c>
      <c r="B16" s="12">
        <v>-1</v>
      </c>
      <c r="C16" s="13">
        <v>13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spans="1:14" x14ac:dyDescent="0.25">
      <c r="A17" s="15">
        <v>33225</v>
      </c>
      <c r="B17" s="12">
        <v>-1</v>
      </c>
      <c r="C17" s="13">
        <v>12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spans="1:14" x14ac:dyDescent="0.25">
      <c r="A18" s="15">
        <v>33332</v>
      </c>
      <c r="B18" s="12">
        <v>-0.5</v>
      </c>
      <c r="C18" s="13">
        <v>11.5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spans="1:14" x14ac:dyDescent="0.25">
      <c r="A19" s="15">
        <v>33374</v>
      </c>
      <c r="B19" s="12">
        <v>-1</v>
      </c>
      <c r="C19" s="13">
        <v>10.5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spans="1:14" x14ac:dyDescent="0.25">
      <c r="A20" s="15">
        <v>33484</v>
      </c>
      <c r="B20" s="12">
        <v>-1</v>
      </c>
      <c r="C20" s="13">
        <v>9.5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spans="1:14" x14ac:dyDescent="0.25">
      <c r="A21" s="15">
        <v>33548</v>
      </c>
      <c r="B21" s="12">
        <v>-1</v>
      </c>
      <c r="C21" s="13">
        <v>8.5</v>
      </c>
      <c r="D21" s="14"/>
      <c r="E21" s="14">
        <f t="shared" ref="E21:E28" si="0">A22-A21</f>
        <v>63</v>
      </c>
      <c r="F21" s="14"/>
      <c r="G21" s="14"/>
      <c r="H21" s="14"/>
      <c r="I21" s="14"/>
      <c r="J21" s="14"/>
      <c r="K21" s="14"/>
      <c r="L21" s="14"/>
      <c r="M21" s="14"/>
      <c r="N21" s="14"/>
    </row>
    <row r="22" spans="1:14" x14ac:dyDescent="0.25">
      <c r="A22" s="15">
        <v>33611</v>
      </c>
      <c r="B22" s="12">
        <v>-1</v>
      </c>
      <c r="C22" s="13">
        <v>7.5</v>
      </c>
      <c r="D22" s="17">
        <f>C22/100</f>
        <v>7.4999999999999997E-2</v>
      </c>
      <c r="E22" s="14">
        <f>A23-A22</f>
        <v>119</v>
      </c>
      <c r="F22" s="17">
        <f>(1+D22)^(E22/365)</f>
        <v>1.0238586879677554</v>
      </c>
      <c r="G22" s="18">
        <f>PRODUCT(F22:F24)-1</f>
        <v>7.677063753552571E-2</v>
      </c>
      <c r="H22" s="17">
        <f>SUM(D22:D24)/3</f>
        <v>6.5833333333333341E-2</v>
      </c>
      <c r="I22" s="14"/>
      <c r="J22" s="14"/>
      <c r="K22" s="14"/>
      <c r="L22" s="14"/>
      <c r="M22" s="14"/>
      <c r="N22" s="14"/>
    </row>
    <row r="23" spans="1:14" x14ac:dyDescent="0.25">
      <c r="A23" s="15">
        <v>33730</v>
      </c>
      <c r="B23" s="12">
        <v>-1</v>
      </c>
      <c r="C23" s="13">
        <v>6.5</v>
      </c>
      <c r="D23" s="17">
        <f>C23/100</f>
        <v>6.5000000000000002E-2</v>
      </c>
      <c r="E23" s="14">
        <f t="shared" si="0"/>
        <v>63</v>
      </c>
      <c r="F23" s="17">
        <f t="shared" ref="F23:F87" si="1">(1+D23)^(E23/365)</f>
        <v>1.0109289118411426</v>
      </c>
      <c r="G23" s="18"/>
      <c r="H23" s="17"/>
      <c r="I23" s="14"/>
      <c r="J23" s="14"/>
      <c r="K23" s="14"/>
      <c r="L23" s="14"/>
      <c r="M23" s="14"/>
      <c r="N23" s="14"/>
    </row>
    <row r="24" spans="1:14" x14ac:dyDescent="0.25">
      <c r="A24" s="15">
        <v>33793</v>
      </c>
      <c r="B24" s="12">
        <v>-0.75</v>
      </c>
      <c r="C24" s="13">
        <v>5.75</v>
      </c>
      <c r="D24" s="17">
        <f t="shared" ref="D24:D90" si="2">C24/100</f>
        <v>5.7500000000000002E-2</v>
      </c>
      <c r="E24" s="14">
        <f t="shared" si="0"/>
        <v>258</v>
      </c>
      <c r="F24" s="17">
        <f t="shared" si="1"/>
        <v>1.0403095065628034</v>
      </c>
      <c r="G24" s="18"/>
      <c r="H24" s="17"/>
      <c r="I24" s="14"/>
      <c r="J24" s="14"/>
      <c r="K24" s="14"/>
      <c r="L24" s="14"/>
      <c r="M24" s="14"/>
      <c r="N24" s="14"/>
    </row>
    <row r="25" spans="1:14" x14ac:dyDescent="0.25">
      <c r="A25" s="15">
        <v>34051</v>
      </c>
      <c r="B25" s="12">
        <v>-0.5</v>
      </c>
      <c r="C25" s="13">
        <v>5.25</v>
      </c>
      <c r="D25" s="17">
        <f t="shared" si="2"/>
        <v>5.2499999999999998E-2</v>
      </c>
      <c r="E25" s="14">
        <f t="shared" si="0"/>
        <v>129</v>
      </c>
      <c r="F25" s="17">
        <f t="shared" si="1"/>
        <v>1.0182486422793748</v>
      </c>
      <c r="G25" s="18">
        <f>PRODUCT(F25:F26)-1</f>
        <v>6.9059233203775161E-2</v>
      </c>
      <c r="H25" s="17">
        <f>SUM(D25:D26)/2</f>
        <v>0.05</v>
      </c>
      <c r="I25" s="14"/>
      <c r="J25" s="14"/>
      <c r="K25" s="14"/>
      <c r="L25" s="14"/>
      <c r="M25" s="14"/>
      <c r="N25" s="14"/>
    </row>
    <row r="26" spans="1:14" x14ac:dyDescent="0.25">
      <c r="A26" s="15">
        <v>34180</v>
      </c>
      <c r="B26" s="12">
        <v>-0.5</v>
      </c>
      <c r="C26" s="13">
        <v>4.75</v>
      </c>
      <c r="D26" s="17">
        <f t="shared" si="2"/>
        <v>4.7500000000000001E-2</v>
      </c>
      <c r="E26" s="14">
        <f t="shared" si="0"/>
        <v>383</v>
      </c>
      <c r="F26" s="17">
        <f t="shared" si="1"/>
        <v>1.0498999839672356</v>
      </c>
      <c r="G26" s="18"/>
      <c r="H26" s="17"/>
      <c r="I26" s="14"/>
      <c r="J26" s="14"/>
      <c r="K26" s="14"/>
      <c r="L26" s="14"/>
      <c r="M26" s="14"/>
      <c r="N26" s="14"/>
    </row>
    <row r="27" spans="1:14" x14ac:dyDescent="0.25">
      <c r="A27" s="15">
        <v>34563</v>
      </c>
      <c r="B27" s="12">
        <v>0.75</v>
      </c>
      <c r="C27" s="13">
        <v>5.5</v>
      </c>
      <c r="D27" s="17">
        <f t="shared" si="2"/>
        <v>5.5E-2</v>
      </c>
      <c r="E27" s="14">
        <f t="shared" si="0"/>
        <v>68</v>
      </c>
      <c r="F27" s="17">
        <f t="shared" si="1"/>
        <v>1.0100246315430788</v>
      </c>
      <c r="G27" s="18">
        <f>PRODUCT(F27:F28)-1</f>
        <v>2.2120655742026152E-2</v>
      </c>
      <c r="H27" s="17">
        <f>SUM(D27:D28)/2</f>
        <v>0.06</v>
      </c>
      <c r="I27" s="14"/>
      <c r="J27" s="14"/>
      <c r="K27" s="14"/>
      <c r="L27" s="14"/>
      <c r="M27" s="14"/>
      <c r="N27" s="14"/>
    </row>
    <row r="28" spans="1:14" x14ac:dyDescent="0.25">
      <c r="A28" s="15">
        <v>34631</v>
      </c>
      <c r="B28" s="12">
        <v>1</v>
      </c>
      <c r="C28" s="13">
        <v>6.5</v>
      </c>
      <c r="D28" s="17">
        <f t="shared" si="2"/>
        <v>6.5000000000000002E-2</v>
      </c>
      <c r="E28" s="14">
        <f t="shared" si="0"/>
        <v>69</v>
      </c>
      <c r="F28" s="17">
        <f t="shared" si="1"/>
        <v>1.0119759695171666</v>
      </c>
      <c r="G28" s="18"/>
      <c r="H28" s="17"/>
      <c r="I28" s="14"/>
      <c r="J28" s="14"/>
      <c r="K28" s="14"/>
      <c r="L28" s="14"/>
      <c r="M28" s="14"/>
      <c r="N28" s="14"/>
    </row>
    <row r="29" spans="1:14" x14ac:dyDescent="0.25">
      <c r="A29" s="15">
        <v>34700</v>
      </c>
      <c r="B29" s="12">
        <v>1</v>
      </c>
      <c r="C29" s="13">
        <v>7.5</v>
      </c>
      <c r="D29" s="17">
        <f t="shared" si="2"/>
        <v>7.4999999999999997E-2</v>
      </c>
      <c r="E29" s="14">
        <f>A30-A29</f>
        <v>577</v>
      </c>
      <c r="F29" s="17">
        <f t="shared" si="1"/>
        <v>1.121117647102742</v>
      </c>
      <c r="G29" s="18">
        <f>PRODUCT(F29:F29)-1</f>
        <v>0.12111764710274198</v>
      </c>
      <c r="H29" s="17">
        <f>D29</f>
        <v>7.4999999999999997E-2</v>
      </c>
      <c r="I29" s="14"/>
      <c r="J29" s="14"/>
      <c r="K29" s="14"/>
      <c r="L29" s="14"/>
      <c r="M29" s="14"/>
      <c r="N29" s="14"/>
    </row>
    <row r="30" spans="1:14" x14ac:dyDescent="0.25">
      <c r="A30" s="15">
        <v>35277</v>
      </c>
      <c r="B30" s="12">
        <v>-0.5</v>
      </c>
      <c r="C30" s="13">
        <v>7</v>
      </c>
      <c r="D30" s="17">
        <f t="shared" si="2"/>
        <v>7.0000000000000007E-2</v>
      </c>
      <c r="E30" s="14">
        <f t="shared" ref="E30:E93" si="3">A31-A30</f>
        <v>98</v>
      </c>
      <c r="F30" s="17">
        <f t="shared" si="1"/>
        <v>1.0183318870407103</v>
      </c>
      <c r="G30" s="18">
        <f>PRODUCT(F30:F32)-1</f>
        <v>5.1508732230007404E-2</v>
      </c>
      <c r="H30" s="17">
        <f>SUM(D30:D32)/3</f>
        <v>6.5000000000000002E-2</v>
      </c>
      <c r="I30" s="14"/>
      <c r="J30" s="14"/>
      <c r="K30" s="14"/>
      <c r="L30" s="14"/>
      <c r="M30" s="14"/>
      <c r="N30" s="14"/>
    </row>
    <row r="31" spans="1:14" x14ac:dyDescent="0.25">
      <c r="A31" s="15">
        <v>35375</v>
      </c>
      <c r="B31" s="12">
        <v>-0.5</v>
      </c>
      <c r="C31" s="13">
        <v>6.5</v>
      </c>
      <c r="D31" s="17">
        <f t="shared" si="2"/>
        <v>6.5000000000000002E-2</v>
      </c>
      <c r="E31" s="14">
        <f t="shared" si="3"/>
        <v>35</v>
      </c>
      <c r="F31" s="17">
        <f t="shared" si="1"/>
        <v>1.0060569489521163</v>
      </c>
      <c r="G31" s="18"/>
      <c r="H31" s="17"/>
      <c r="I31" s="14"/>
      <c r="J31" s="14"/>
      <c r="K31" s="14"/>
      <c r="L31" s="14"/>
      <c r="M31" s="14"/>
      <c r="N31" s="14"/>
    </row>
    <row r="32" spans="1:14" x14ac:dyDescent="0.25">
      <c r="A32" s="15">
        <v>35410</v>
      </c>
      <c r="B32" s="12">
        <v>-0.5</v>
      </c>
      <c r="C32" s="13">
        <v>6</v>
      </c>
      <c r="D32" s="17">
        <f t="shared" si="2"/>
        <v>0.06</v>
      </c>
      <c r="E32" s="14">
        <f t="shared" si="3"/>
        <v>163</v>
      </c>
      <c r="F32" s="17">
        <f t="shared" si="1"/>
        <v>1.0263629715238431</v>
      </c>
      <c r="G32" s="18"/>
      <c r="H32" s="17"/>
      <c r="I32" s="14"/>
      <c r="J32" s="14"/>
      <c r="K32" s="14"/>
      <c r="L32" s="14"/>
      <c r="M32" s="14"/>
      <c r="N32" s="14"/>
    </row>
    <row r="33" spans="1:14" x14ac:dyDescent="0.25">
      <c r="A33" s="15">
        <v>35573</v>
      </c>
      <c r="B33" s="12">
        <v>-0.5</v>
      </c>
      <c r="C33" s="13">
        <v>5.5</v>
      </c>
      <c r="D33" s="17">
        <f t="shared" si="2"/>
        <v>5.5E-2</v>
      </c>
      <c r="E33" s="14">
        <f t="shared" si="3"/>
        <v>68</v>
      </c>
      <c r="F33" s="17">
        <f t="shared" si="1"/>
        <v>1.0100246315430788</v>
      </c>
      <c r="G33" s="18">
        <f>PRODUCT(F33:F34)-1</f>
        <v>7.8395019472575544E-2</v>
      </c>
      <c r="H33" s="17">
        <f>SUM(D33:D34)/2</f>
        <v>5.2500000000000005E-2</v>
      </c>
      <c r="I33" s="14"/>
      <c r="J33" s="14"/>
      <c r="K33" s="14"/>
      <c r="L33" s="14"/>
      <c r="M33" s="14"/>
      <c r="N33" s="14"/>
    </row>
    <row r="34" spans="1:14" x14ac:dyDescent="0.25">
      <c r="A34" s="15">
        <v>35641</v>
      </c>
      <c r="B34" s="12">
        <v>-0.5</v>
      </c>
      <c r="C34" s="13">
        <v>5</v>
      </c>
      <c r="D34" s="19">
        <f t="shared" si="2"/>
        <v>0.05</v>
      </c>
      <c r="E34" s="14">
        <f t="shared" si="3"/>
        <v>490</v>
      </c>
      <c r="F34" s="19">
        <f t="shared" si="1"/>
        <v>1.0676918025504418</v>
      </c>
      <c r="G34" s="18"/>
      <c r="H34" s="17"/>
      <c r="I34" s="14"/>
      <c r="J34" s="14"/>
      <c r="K34" s="14"/>
      <c r="L34" s="14"/>
      <c r="M34" s="14"/>
      <c r="N34" s="14"/>
    </row>
    <row r="35" spans="1:14" x14ac:dyDescent="0.25">
      <c r="A35" s="15">
        <v>36131</v>
      </c>
      <c r="B35" s="12">
        <v>-0.25</v>
      </c>
      <c r="C35" s="13">
        <v>4.75</v>
      </c>
      <c r="D35" s="19">
        <f t="shared" si="2"/>
        <v>4.7500000000000001E-2</v>
      </c>
      <c r="E35" s="14">
        <f t="shared" si="3"/>
        <v>336</v>
      </c>
      <c r="F35" s="19">
        <f t="shared" si="1"/>
        <v>1.0436448933586651</v>
      </c>
      <c r="G35" s="18">
        <f>PRODUCT(F35:F35)-1</f>
        <v>4.364489335866506E-2</v>
      </c>
      <c r="H35" s="17">
        <f>SUM(D35:D35)</f>
        <v>4.7500000000000001E-2</v>
      </c>
      <c r="I35" s="14"/>
      <c r="J35" s="14"/>
      <c r="K35" s="14"/>
      <c r="L35" s="14"/>
      <c r="M35" s="14"/>
      <c r="N35" s="14"/>
    </row>
    <row r="36" spans="1:14" x14ac:dyDescent="0.25">
      <c r="A36" s="15">
        <v>36467</v>
      </c>
      <c r="B36" s="12">
        <v>0.25</v>
      </c>
      <c r="C36" s="13">
        <v>5</v>
      </c>
      <c r="D36" s="19">
        <f t="shared" si="2"/>
        <v>0.05</v>
      </c>
      <c r="E36" s="14">
        <f t="shared" si="3"/>
        <v>91</v>
      </c>
      <c r="F36" s="19">
        <f t="shared" si="1"/>
        <v>1.0122384069610437</v>
      </c>
      <c r="G36" s="18">
        <f>PRODUCT(F36:F36)-1</f>
        <v>1.2238406961043724E-2</v>
      </c>
      <c r="H36" s="17">
        <f t="shared" ref="H36" si="4">SUM(D36:D36)</f>
        <v>0.05</v>
      </c>
      <c r="I36" s="14"/>
      <c r="J36" s="14"/>
      <c r="K36" s="14"/>
      <c r="L36" s="14"/>
      <c r="M36" s="14"/>
      <c r="N36" s="14"/>
    </row>
    <row r="37" spans="1:14" x14ac:dyDescent="0.25">
      <c r="A37" s="15">
        <v>36558</v>
      </c>
      <c r="B37" s="12">
        <v>0.5</v>
      </c>
      <c r="C37" s="13">
        <v>5.5</v>
      </c>
      <c r="D37" s="19">
        <f t="shared" si="2"/>
        <v>5.5E-2</v>
      </c>
      <c r="E37" s="14">
        <f t="shared" si="3"/>
        <v>63</v>
      </c>
      <c r="F37" s="19">
        <f t="shared" si="1"/>
        <v>1.0092841155558345</v>
      </c>
      <c r="G37" s="18">
        <f>PRODUCT(F37:F40)-1</f>
        <v>6.1251988082128062E-2</v>
      </c>
      <c r="H37" s="17">
        <f>SUM(D37:D40)/4</f>
        <v>5.8749999999999997E-2</v>
      </c>
      <c r="I37" s="14"/>
      <c r="J37" s="14"/>
      <c r="K37" s="14"/>
      <c r="L37" s="14"/>
      <c r="M37" s="14"/>
      <c r="N37" s="14"/>
    </row>
    <row r="38" spans="1:14" x14ac:dyDescent="0.25">
      <c r="A38" s="15">
        <v>36621</v>
      </c>
      <c r="B38" s="12">
        <v>0.25</v>
      </c>
      <c r="C38" s="13">
        <v>5.75</v>
      </c>
      <c r="D38" s="19">
        <f t="shared" si="2"/>
        <v>5.7500000000000002E-2</v>
      </c>
      <c r="E38" s="14">
        <f t="shared" si="3"/>
        <v>28</v>
      </c>
      <c r="F38" s="19">
        <f t="shared" si="1"/>
        <v>1.0042980147265139</v>
      </c>
      <c r="G38" s="18"/>
      <c r="H38" s="17"/>
      <c r="I38" s="14"/>
      <c r="J38" s="14"/>
      <c r="K38" s="14"/>
      <c r="L38" s="14"/>
      <c r="M38" s="14"/>
      <c r="N38" s="14"/>
    </row>
    <row r="39" spans="1:14" x14ac:dyDescent="0.25">
      <c r="A39" s="15">
        <v>36649</v>
      </c>
      <c r="B39" s="12">
        <v>0.25</v>
      </c>
      <c r="C39" s="13">
        <v>6</v>
      </c>
      <c r="D39" s="19">
        <f t="shared" si="2"/>
        <v>0.06</v>
      </c>
      <c r="E39" s="14">
        <f t="shared" si="3"/>
        <v>91</v>
      </c>
      <c r="F39" s="19">
        <f t="shared" si="1"/>
        <v>1.0146333511294061</v>
      </c>
      <c r="G39" s="18"/>
      <c r="H39" s="17"/>
      <c r="I39" s="14"/>
      <c r="J39" s="14"/>
      <c r="K39" s="14"/>
      <c r="L39" s="14"/>
      <c r="M39" s="14"/>
      <c r="N39" s="14"/>
    </row>
    <row r="40" spans="1:14" x14ac:dyDescent="0.25">
      <c r="A40" s="15">
        <v>36740</v>
      </c>
      <c r="B40" s="12">
        <v>0.25</v>
      </c>
      <c r="C40" s="13">
        <v>6.25</v>
      </c>
      <c r="D40" s="19">
        <f t="shared" si="2"/>
        <v>6.25E-2</v>
      </c>
      <c r="E40" s="14">
        <f t="shared" si="3"/>
        <v>189</v>
      </c>
      <c r="F40" s="19">
        <f t="shared" si="1"/>
        <v>1.0318898506133527</v>
      </c>
      <c r="G40" s="18"/>
      <c r="H40" s="17"/>
      <c r="I40" s="14"/>
      <c r="J40" s="14"/>
      <c r="K40" s="14"/>
      <c r="L40" s="14"/>
      <c r="M40" s="14"/>
      <c r="N40" s="14"/>
    </row>
    <row r="41" spans="1:14" x14ac:dyDescent="0.25">
      <c r="A41" s="15">
        <v>36929</v>
      </c>
      <c r="B41" s="12">
        <v>-0.5</v>
      </c>
      <c r="C41" s="13">
        <v>5.75</v>
      </c>
      <c r="D41" s="19">
        <f t="shared" si="2"/>
        <v>5.7500000000000002E-2</v>
      </c>
      <c r="E41" s="14">
        <f t="shared" si="3"/>
        <v>28</v>
      </c>
      <c r="F41" s="19">
        <f t="shared" si="1"/>
        <v>1.0042980147265139</v>
      </c>
      <c r="G41" s="18">
        <f>PRODUCT(F41:F46)-1</f>
        <v>5.939689835987072E-2</v>
      </c>
      <c r="H41" s="17">
        <f>SUM(D41:D46)/6</f>
        <v>4.9583333333333333E-2</v>
      </c>
      <c r="I41" s="14"/>
      <c r="J41" s="14"/>
      <c r="K41" s="14"/>
      <c r="L41" s="14"/>
      <c r="M41" s="14"/>
      <c r="N41" s="14"/>
    </row>
    <row r="42" spans="1:14" x14ac:dyDescent="0.25">
      <c r="A42" s="15">
        <v>36957</v>
      </c>
      <c r="B42" s="12">
        <v>-0.25</v>
      </c>
      <c r="C42" s="13">
        <v>5.5</v>
      </c>
      <c r="D42" s="19">
        <f t="shared" si="2"/>
        <v>5.5E-2</v>
      </c>
      <c r="E42" s="14">
        <f t="shared" si="3"/>
        <v>28</v>
      </c>
      <c r="F42" s="19">
        <f t="shared" si="1"/>
        <v>1.0041156831721991</v>
      </c>
      <c r="G42" s="18"/>
      <c r="H42" s="17"/>
      <c r="I42" s="14"/>
      <c r="J42" s="14"/>
      <c r="K42" s="14"/>
      <c r="L42" s="14"/>
      <c r="M42" s="14"/>
      <c r="N42" s="14"/>
    </row>
    <row r="43" spans="1:14" x14ac:dyDescent="0.25">
      <c r="A43" s="15">
        <v>36985</v>
      </c>
      <c r="B43" s="12">
        <v>-0.5</v>
      </c>
      <c r="C43" s="13">
        <v>5</v>
      </c>
      <c r="D43" s="19">
        <f t="shared" si="2"/>
        <v>0.05</v>
      </c>
      <c r="E43" s="14">
        <f t="shared" si="3"/>
        <v>154</v>
      </c>
      <c r="F43" s="19">
        <f t="shared" si="1"/>
        <v>1.0207987806761896</v>
      </c>
      <c r="G43" s="18"/>
      <c r="H43" s="17"/>
      <c r="I43" s="14"/>
      <c r="J43" s="14"/>
      <c r="K43" s="14"/>
      <c r="L43" s="14"/>
      <c r="M43" s="14"/>
      <c r="N43" s="14"/>
    </row>
    <row r="44" spans="1:14" x14ac:dyDescent="0.25">
      <c r="A44" s="15">
        <v>37139</v>
      </c>
      <c r="B44" s="12">
        <v>-0.25</v>
      </c>
      <c r="C44" s="13">
        <v>4.75</v>
      </c>
      <c r="D44" s="19">
        <f t="shared" si="2"/>
        <v>4.7500000000000001E-2</v>
      </c>
      <c r="E44" s="14">
        <f t="shared" si="3"/>
        <v>28</v>
      </c>
      <c r="F44" s="19">
        <f t="shared" si="1"/>
        <v>1.0035662850439073</v>
      </c>
      <c r="G44" s="18"/>
      <c r="H44" s="17"/>
      <c r="I44" s="14"/>
      <c r="J44" s="14"/>
      <c r="K44" s="14"/>
      <c r="L44" s="14"/>
      <c r="M44" s="14"/>
      <c r="N44" s="14"/>
    </row>
    <row r="45" spans="1:14" x14ac:dyDescent="0.25">
      <c r="A45" s="15">
        <v>37167</v>
      </c>
      <c r="B45" s="12">
        <v>-0.25</v>
      </c>
      <c r="C45" s="13">
        <v>4.5</v>
      </c>
      <c r="D45" s="19">
        <f t="shared" si="2"/>
        <v>4.4999999999999998E-2</v>
      </c>
      <c r="E45" s="14">
        <f t="shared" si="3"/>
        <v>63</v>
      </c>
      <c r="F45" s="19">
        <f t="shared" si="1"/>
        <v>1.0076263687542093</v>
      </c>
      <c r="G45" s="18"/>
      <c r="H45" s="17"/>
      <c r="I45" s="14"/>
      <c r="J45" s="14"/>
      <c r="K45" s="14"/>
      <c r="L45" s="14"/>
      <c r="M45" s="14"/>
      <c r="N45" s="14"/>
    </row>
    <row r="46" spans="1:14" x14ac:dyDescent="0.25">
      <c r="A46" s="15">
        <v>37230</v>
      </c>
      <c r="B46" s="12">
        <v>-0.25</v>
      </c>
      <c r="C46" s="13">
        <v>4.25</v>
      </c>
      <c r="D46" s="19">
        <f t="shared" si="2"/>
        <v>4.2500000000000003E-2</v>
      </c>
      <c r="E46" s="14">
        <f t="shared" si="3"/>
        <v>154</v>
      </c>
      <c r="F46" s="19">
        <f t="shared" si="1"/>
        <v>1.0177160253842179</v>
      </c>
      <c r="G46" s="18"/>
      <c r="H46" s="17"/>
      <c r="I46" s="14"/>
      <c r="J46" s="14"/>
      <c r="K46" s="14"/>
      <c r="L46" s="14"/>
      <c r="M46" s="14"/>
      <c r="N46" s="14"/>
    </row>
    <row r="47" spans="1:14" x14ac:dyDescent="0.25">
      <c r="A47" s="15">
        <v>37384</v>
      </c>
      <c r="B47" s="12">
        <v>0.25</v>
      </c>
      <c r="C47" s="13">
        <v>4.5</v>
      </c>
      <c r="D47" s="19">
        <f t="shared" si="2"/>
        <v>4.4999999999999998E-2</v>
      </c>
      <c r="E47" s="14">
        <f t="shared" si="3"/>
        <v>28</v>
      </c>
      <c r="F47" s="19">
        <f t="shared" si="1"/>
        <v>1.0033823450487422</v>
      </c>
      <c r="G47" s="18">
        <f t="shared" ref="G47:G74" si="5">PRODUCT(F47:F48)-1</f>
        <v>7.1688610269182718E-2</v>
      </c>
      <c r="H47" s="17">
        <f>SUM(D47:D48)/2</f>
        <v>4.6249999999999999E-2</v>
      </c>
      <c r="I47" s="14"/>
      <c r="J47" s="14"/>
      <c r="K47" s="14"/>
      <c r="L47" s="14"/>
      <c r="M47" s="14"/>
      <c r="N47" s="14"/>
    </row>
    <row r="48" spans="1:14" x14ac:dyDescent="0.25">
      <c r="A48" s="15">
        <v>37412</v>
      </c>
      <c r="B48" s="12">
        <v>0.25</v>
      </c>
      <c r="C48" s="13">
        <v>4.75</v>
      </c>
      <c r="D48" s="19">
        <f t="shared" si="2"/>
        <v>4.7500000000000001E-2</v>
      </c>
      <c r="E48" s="14">
        <f t="shared" si="3"/>
        <v>518</v>
      </c>
      <c r="F48" s="19">
        <f t="shared" si="1"/>
        <v>1.0680760086695789</v>
      </c>
      <c r="G48" s="18"/>
      <c r="H48" s="17"/>
      <c r="I48" s="14"/>
      <c r="J48" s="14"/>
      <c r="K48" s="14"/>
      <c r="L48" s="14"/>
      <c r="M48" s="14"/>
      <c r="N48" s="14"/>
    </row>
    <row r="49" spans="1:14" x14ac:dyDescent="0.25">
      <c r="A49" s="15">
        <v>37930</v>
      </c>
      <c r="B49" s="12">
        <v>0.25</v>
      </c>
      <c r="C49" s="13">
        <v>5</v>
      </c>
      <c r="D49" s="19">
        <f t="shared" si="2"/>
        <v>0.05</v>
      </c>
      <c r="E49" s="14">
        <f t="shared" si="3"/>
        <v>57</v>
      </c>
      <c r="F49" s="19">
        <f t="shared" si="1"/>
        <v>1.0076483865319885</v>
      </c>
      <c r="G49" s="18">
        <f t="shared" si="5"/>
        <v>6.965801449209863E-2</v>
      </c>
      <c r="H49" s="17">
        <f>SUM(D49:D49)</f>
        <v>0.05</v>
      </c>
      <c r="I49" s="14"/>
      <c r="J49" s="14"/>
      <c r="K49" s="14"/>
      <c r="L49" s="14"/>
      <c r="M49" s="14"/>
      <c r="N49" s="14"/>
    </row>
    <row r="50" spans="1:14" x14ac:dyDescent="0.25">
      <c r="A50" s="15">
        <v>37987</v>
      </c>
      <c r="B50" s="12">
        <v>0.25</v>
      </c>
      <c r="C50" s="13">
        <v>5.25</v>
      </c>
      <c r="D50" s="19">
        <f t="shared" si="2"/>
        <v>5.2499999999999998E-2</v>
      </c>
      <c r="E50" s="14">
        <f t="shared" si="3"/>
        <v>426</v>
      </c>
      <c r="F50" s="19">
        <f t="shared" si="1"/>
        <v>1.0615389542512224</v>
      </c>
      <c r="G50" s="18">
        <f>D50</f>
        <v>5.2499999999999998E-2</v>
      </c>
      <c r="H50" s="17">
        <f t="shared" ref="H50:H51" si="6">SUM(D50:D50)</f>
        <v>5.2499999999999998E-2</v>
      </c>
      <c r="I50" s="14"/>
      <c r="J50" s="14"/>
      <c r="K50" s="14"/>
      <c r="L50" s="14"/>
      <c r="M50" s="14"/>
      <c r="N50" s="14"/>
    </row>
    <row r="51" spans="1:14" x14ac:dyDescent="0.25">
      <c r="A51" s="15">
        <v>38413</v>
      </c>
      <c r="B51" s="12">
        <v>0.25</v>
      </c>
      <c r="C51" s="13">
        <v>5.5</v>
      </c>
      <c r="D51" s="19">
        <f t="shared" si="2"/>
        <v>5.5E-2</v>
      </c>
      <c r="E51" s="14">
        <f t="shared" si="3"/>
        <v>427</v>
      </c>
      <c r="F51" s="19">
        <f t="shared" si="1"/>
        <v>1.0646385617853813</v>
      </c>
      <c r="G51" s="18">
        <f>PRODUCT(F51)-1</f>
        <v>6.4638561785381299E-2</v>
      </c>
      <c r="H51" s="17">
        <f t="shared" si="6"/>
        <v>5.5E-2</v>
      </c>
      <c r="I51" s="14"/>
      <c r="J51" s="14"/>
      <c r="K51" s="14"/>
      <c r="L51" s="14"/>
      <c r="M51" s="14"/>
      <c r="N51" s="14"/>
    </row>
    <row r="52" spans="1:14" x14ac:dyDescent="0.25">
      <c r="A52" s="15">
        <v>38840</v>
      </c>
      <c r="B52" s="12">
        <v>0.25</v>
      </c>
      <c r="C52" s="13">
        <v>5.75</v>
      </c>
      <c r="D52" s="19">
        <f t="shared" si="2"/>
        <v>5.7500000000000002E-2</v>
      </c>
      <c r="E52" s="14">
        <f t="shared" si="3"/>
        <v>91</v>
      </c>
      <c r="F52" s="19">
        <f t="shared" si="1"/>
        <v>1.0140362105023659</v>
      </c>
      <c r="G52" s="18">
        <f>PRODUCT(F52:F54)-1</f>
        <v>7.7805805606365297E-2</v>
      </c>
      <c r="H52" s="17">
        <f>SUM(D52:D54)/3</f>
        <v>0.06</v>
      </c>
      <c r="I52" s="14"/>
      <c r="J52" s="14"/>
      <c r="K52" s="14"/>
      <c r="L52" s="14"/>
      <c r="M52" s="14"/>
      <c r="N52" s="14"/>
    </row>
    <row r="53" spans="1:14" x14ac:dyDescent="0.25">
      <c r="A53" s="15">
        <v>38931</v>
      </c>
      <c r="B53" s="12">
        <v>0.25</v>
      </c>
      <c r="C53" s="13">
        <v>6</v>
      </c>
      <c r="D53" s="19">
        <f t="shared" si="2"/>
        <v>0.06</v>
      </c>
      <c r="E53" s="14">
        <f t="shared" si="3"/>
        <v>98</v>
      </c>
      <c r="F53" s="19">
        <f t="shared" si="1"/>
        <v>1.0157678233626342</v>
      </c>
      <c r="G53" s="18"/>
      <c r="H53" s="17"/>
      <c r="I53" s="14"/>
      <c r="J53" s="14"/>
      <c r="K53" s="14"/>
      <c r="L53" s="14"/>
      <c r="M53" s="14"/>
      <c r="N53" s="14"/>
    </row>
    <row r="54" spans="1:14" x14ac:dyDescent="0.25">
      <c r="A54" s="15">
        <v>39029</v>
      </c>
      <c r="B54" s="12">
        <v>0.25</v>
      </c>
      <c r="C54" s="13">
        <v>6.25</v>
      </c>
      <c r="D54" s="19">
        <f t="shared" si="2"/>
        <v>6.25E-2</v>
      </c>
      <c r="E54" s="14">
        <f t="shared" si="3"/>
        <v>273</v>
      </c>
      <c r="F54" s="19">
        <f t="shared" si="1"/>
        <v>1.0463876457521781</v>
      </c>
      <c r="G54" s="18"/>
      <c r="H54" s="17"/>
      <c r="I54" s="14"/>
      <c r="J54" s="14"/>
      <c r="K54" s="14"/>
      <c r="L54" s="14"/>
      <c r="M54" s="14"/>
      <c r="N54" s="14"/>
    </row>
    <row r="55" spans="1:14" x14ac:dyDescent="0.25">
      <c r="A55" s="15">
        <v>39302</v>
      </c>
      <c r="B55" s="12">
        <v>0.25</v>
      </c>
      <c r="C55" s="13">
        <v>6.5</v>
      </c>
      <c r="D55" s="19">
        <f t="shared" si="2"/>
        <v>6.5000000000000002E-2</v>
      </c>
      <c r="E55" s="14">
        <f t="shared" si="3"/>
        <v>91</v>
      </c>
      <c r="F55" s="19">
        <f t="shared" si="1"/>
        <v>1.0158244678502373</v>
      </c>
      <c r="G55" s="18">
        <f t="shared" si="5"/>
        <v>3.2502733736334166E-2</v>
      </c>
      <c r="H55" s="17">
        <f>SUM(D55:D56)/2</f>
        <v>6.6250000000000003E-2</v>
      </c>
      <c r="I55" s="14"/>
      <c r="J55" s="14"/>
      <c r="K55" s="14"/>
      <c r="L55" s="14"/>
      <c r="M55" s="14"/>
      <c r="N55" s="14"/>
    </row>
    <row r="56" spans="1:14" x14ac:dyDescent="0.25">
      <c r="A56" s="15">
        <v>39393</v>
      </c>
      <c r="B56" s="12">
        <v>0.25</v>
      </c>
      <c r="C56" s="13">
        <v>6.75</v>
      </c>
      <c r="D56" s="19">
        <f t="shared" si="2"/>
        <v>6.7500000000000004E-2</v>
      </c>
      <c r="E56" s="14">
        <f t="shared" si="3"/>
        <v>91</v>
      </c>
      <c r="F56" s="19">
        <f t="shared" si="1"/>
        <v>1.0164184526106097</v>
      </c>
      <c r="G56" s="18"/>
      <c r="H56" s="17"/>
      <c r="I56" s="14"/>
      <c r="J56" s="14"/>
      <c r="K56" s="14"/>
      <c r="L56" s="14"/>
      <c r="M56" s="14"/>
      <c r="N56" s="14"/>
    </row>
    <row r="57" spans="1:14" x14ac:dyDescent="0.25">
      <c r="A57" s="15">
        <v>39484</v>
      </c>
      <c r="B57" s="12">
        <v>0.25</v>
      </c>
      <c r="C57" s="13">
        <v>7</v>
      </c>
      <c r="D57" s="19">
        <f t="shared" si="2"/>
        <v>7.0000000000000007E-2</v>
      </c>
      <c r="E57" s="14">
        <f t="shared" si="3"/>
        <v>28</v>
      </c>
      <c r="F57" s="19">
        <f t="shared" si="1"/>
        <v>1.0052037451794908</v>
      </c>
      <c r="G57" s="18">
        <f>PRODUCT(F57:F62)-1</f>
        <v>6.4130007743544493E-2</v>
      </c>
      <c r="H57" s="17">
        <f>SUM(D57:D62)/6</f>
        <v>6.1249999999999999E-2</v>
      </c>
      <c r="I57" s="14"/>
      <c r="J57" s="14"/>
      <c r="K57" s="14"/>
      <c r="L57" s="14"/>
      <c r="M57" s="14"/>
      <c r="N57" s="14"/>
    </row>
    <row r="58" spans="1:14" x14ac:dyDescent="0.25">
      <c r="A58" s="15">
        <v>39512</v>
      </c>
      <c r="B58" s="12">
        <v>0.25</v>
      </c>
      <c r="C58" s="13">
        <v>7.25</v>
      </c>
      <c r="D58" s="19">
        <f t="shared" si="2"/>
        <v>7.2499999999999995E-2</v>
      </c>
      <c r="E58" s="14">
        <f t="shared" si="3"/>
        <v>182</v>
      </c>
      <c r="F58" s="19">
        <f t="shared" si="1"/>
        <v>1.0355164688214555</v>
      </c>
      <c r="G58" s="18"/>
      <c r="H58" s="17"/>
      <c r="I58" s="14"/>
      <c r="J58" s="14"/>
      <c r="K58" s="14"/>
      <c r="L58" s="14"/>
      <c r="M58" s="14"/>
      <c r="N58" s="14"/>
    </row>
    <row r="59" spans="1:14" x14ac:dyDescent="0.25">
      <c r="A59" s="15">
        <v>39694</v>
      </c>
      <c r="B59" s="12">
        <v>-0.25</v>
      </c>
      <c r="C59" s="13">
        <v>7</v>
      </c>
      <c r="D59" s="19">
        <f t="shared" si="2"/>
        <v>7.0000000000000007E-2</v>
      </c>
      <c r="E59" s="14">
        <f t="shared" si="3"/>
        <v>35</v>
      </c>
      <c r="F59" s="19">
        <f t="shared" si="1"/>
        <v>1.0065089070705915</v>
      </c>
      <c r="G59" s="18"/>
      <c r="H59" s="17"/>
      <c r="I59" s="14"/>
      <c r="J59" s="14"/>
      <c r="K59" s="14"/>
      <c r="L59" s="14"/>
      <c r="M59" s="14"/>
      <c r="N59" s="14"/>
    </row>
    <row r="60" spans="1:14" x14ac:dyDescent="0.25">
      <c r="A60" s="15">
        <v>39729</v>
      </c>
      <c r="B60" s="12">
        <v>-1</v>
      </c>
      <c r="C60" s="13">
        <v>6</v>
      </c>
      <c r="D60" s="19">
        <f t="shared" si="2"/>
        <v>0.06</v>
      </c>
      <c r="E60" s="14">
        <f t="shared" si="3"/>
        <v>28</v>
      </c>
      <c r="F60" s="19">
        <f t="shared" si="1"/>
        <v>1.0044799487368226</v>
      </c>
      <c r="G60" s="18"/>
      <c r="H60" s="17"/>
      <c r="I60" s="14"/>
      <c r="J60" s="14"/>
      <c r="K60" s="14"/>
      <c r="L60" s="14"/>
      <c r="M60" s="14"/>
      <c r="N60" s="14"/>
    </row>
    <row r="61" spans="1:14" x14ac:dyDescent="0.25">
      <c r="A61" s="15">
        <v>39757</v>
      </c>
      <c r="B61" s="12">
        <v>-0.75</v>
      </c>
      <c r="C61" s="13">
        <v>5.25</v>
      </c>
      <c r="D61" s="19">
        <f t="shared" si="2"/>
        <v>5.2499999999999998E-2</v>
      </c>
      <c r="E61" s="14">
        <f t="shared" si="3"/>
        <v>28</v>
      </c>
      <c r="F61" s="19">
        <f t="shared" si="1"/>
        <v>1.0039329522600631</v>
      </c>
      <c r="G61" s="18"/>
      <c r="H61" s="17"/>
      <c r="I61" s="14"/>
      <c r="J61" s="14"/>
      <c r="K61" s="14"/>
      <c r="L61" s="14"/>
      <c r="M61" s="14"/>
      <c r="N61" s="14"/>
    </row>
    <row r="62" spans="1:14" x14ac:dyDescent="0.25">
      <c r="A62" s="15">
        <v>39785</v>
      </c>
      <c r="B62" s="12">
        <v>-1</v>
      </c>
      <c r="C62" s="13">
        <v>4.25</v>
      </c>
      <c r="D62" s="19">
        <f t="shared" si="2"/>
        <v>4.2500000000000003E-2</v>
      </c>
      <c r="E62" s="14">
        <f t="shared" si="3"/>
        <v>63</v>
      </c>
      <c r="F62" s="19">
        <f t="shared" si="1"/>
        <v>1.0072098820257149</v>
      </c>
      <c r="G62" s="18"/>
      <c r="H62" s="17"/>
      <c r="I62" s="14"/>
      <c r="J62" s="14"/>
      <c r="K62" s="14"/>
      <c r="L62" s="14"/>
      <c r="M62" s="14"/>
      <c r="N62" s="14"/>
    </row>
    <row r="63" spans="1:14" x14ac:dyDescent="0.25">
      <c r="A63" s="15">
        <v>39848</v>
      </c>
      <c r="B63" s="12">
        <v>-1</v>
      </c>
      <c r="C63" s="13">
        <v>3.25</v>
      </c>
      <c r="D63" s="19">
        <f t="shared" si="2"/>
        <v>3.2500000000000001E-2</v>
      </c>
      <c r="E63" s="14">
        <f t="shared" si="3"/>
        <v>63</v>
      </c>
      <c r="F63" s="19">
        <f t="shared" si="1"/>
        <v>1.0055356266106878</v>
      </c>
      <c r="G63" s="18">
        <f>PRODUCT(F63:F67)-1</f>
        <v>3.51331405589137E-2</v>
      </c>
      <c r="H63" s="17">
        <f>SUM(D63:D67)/5</f>
        <v>3.3500000000000002E-2</v>
      </c>
      <c r="I63" s="14"/>
      <c r="J63" s="14"/>
      <c r="K63" s="14"/>
      <c r="L63" s="14"/>
      <c r="M63" s="14"/>
      <c r="N63" s="14"/>
    </row>
    <row r="64" spans="1:14" x14ac:dyDescent="0.25">
      <c r="A64" s="15">
        <v>39911</v>
      </c>
      <c r="B64" s="12">
        <v>-0.25</v>
      </c>
      <c r="C64" s="13">
        <v>3</v>
      </c>
      <c r="D64" s="19">
        <f t="shared" si="2"/>
        <v>0.03</v>
      </c>
      <c r="E64" s="14">
        <f t="shared" si="3"/>
        <v>182</v>
      </c>
      <c r="F64" s="19">
        <f t="shared" si="1"/>
        <v>1.0148480629468493</v>
      </c>
      <c r="G64" s="18"/>
      <c r="H64" s="17"/>
      <c r="I64" s="14"/>
      <c r="J64" s="14"/>
      <c r="K64" s="14"/>
      <c r="L64" s="14"/>
      <c r="M64" s="14"/>
      <c r="N64" s="14"/>
    </row>
    <row r="65" spans="1:14" x14ac:dyDescent="0.25">
      <c r="A65" s="15">
        <v>40093</v>
      </c>
      <c r="B65" s="12">
        <v>0.25</v>
      </c>
      <c r="C65" s="13">
        <v>3.25</v>
      </c>
      <c r="D65" s="19">
        <f t="shared" si="2"/>
        <v>3.2500000000000001E-2</v>
      </c>
      <c r="E65" s="14">
        <f t="shared" si="3"/>
        <v>28</v>
      </c>
      <c r="F65" s="19">
        <f t="shared" si="1"/>
        <v>1.0024565062077142</v>
      </c>
      <c r="G65" s="18"/>
      <c r="H65" s="17"/>
      <c r="I65" s="14"/>
      <c r="J65" s="14"/>
      <c r="K65" s="14"/>
      <c r="L65" s="14"/>
      <c r="M65" s="14"/>
      <c r="N65" s="14"/>
    </row>
    <row r="66" spans="1:14" x14ac:dyDescent="0.25">
      <c r="A66" s="15">
        <v>40121</v>
      </c>
      <c r="B66" s="12">
        <v>0.25</v>
      </c>
      <c r="C66" s="13">
        <v>3.5</v>
      </c>
      <c r="D66" s="19">
        <f t="shared" si="2"/>
        <v>3.5000000000000003E-2</v>
      </c>
      <c r="E66" s="14">
        <f t="shared" si="3"/>
        <v>28</v>
      </c>
      <c r="F66" s="19">
        <f t="shared" si="1"/>
        <v>1.0026424988178833</v>
      </c>
      <c r="G66" s="18"/>
      <c r="H66" s="17"/>
      <c r="I66" s="14"/>
      <c r="J66" s="14"/>
      <c r="K66" s="14"/>
      <c r="L66" s="14"/>
      <c r="M66" s="14"/>
      <c r="N66" s="14"/>
    </row>
    <row r="67" spans="1:14" x14ac:dyDescent="0.25">
      <c r="A67" s="15">
        <v>40149</v>
      </c>
      <c r="B67" s="12">
        <v>0.25</v>
      </c>
      <c r="C67" s="13">
        <v>3.75</v>
      </c>
      <c r="D67" s="19">
        <f t="shared" si="2"/>
        <v>3.7499999999999999E-2</v>
      </c>
      <c r="E67" s="14">
        <f t="shared" si="3"/>
        <v>91</v>
      </c>
      <c r="F67" s="19">
        <f t="shared" si="1"/>
        <v>1.0092205277867026</v>
      </c>
      <c r="G67" s="18"/>
      <c r="H67" s="17"/>
      <c r="I67" s="14"/>
      <c r="J67" s="14"/>
      <c r="K67" s="14"/>
      <c r="L67" s="14"/>
      <c r="M67" s="14"/>
      <c r="N67" s="14"/>
    </row>
    <row r="68" spans="1:14" x14ac:dyDescent="0.25">
      <c r="A68" s="15">
        <v>40240</v>
      </c>
      <c r="B68" s="12">
        <v>0.25</v>
      </c>
      <c r="C68" s="13">
        <v>4</v>
      </c>
      <c r="D68" s="19">
        <f t="shared" si="2"/>
        <v>0.04</v>
      </c>
      <c r="E68" s="14">
        <f t="shared" si="3"/>
        <v>35</v>
      </c>
      <c r="F68" s="19">
        <f t="shared" si="1"/>
        <v>1.0037679713245022</v>
      </c>
      <c r="G68" s="18">
        <f>PRODUCT(F68:F71)-1</f>
        <v>7.8079441911371283E-2</v>
      </c>
      <c r="H68" s="17">
        <f>SUM(D68:D71)/4</f>
        <v>4.3749999999999997E-2</v>
      </c>
      <c r="I68" s="14"/>
      <c r="J68" s="14"/>
      <c r="K68" s="14"/>
      <c r="L68" s="14"/>
      <c r="M68" s="14"/>
      <c r="N68" s="14"/>
    </row>
    <row r="69" spans="1:14" x14ac:dyDescent="0.25">
      <c r="A69" s="15">
        <v>40275</v>
      </c>
      <c r="B69" s="12">
        <v>0.25</v>
      </c>
      <c r="C69" s="13">
        <v>4.25</v>
      </c>
      <c r="D69" s="19">
        <f t="shared" si="2"/>
        <v>4.2500000000000003E-2</v>
      </c>
      <c r="E69" s="14">
        <f t="shared" si="3"/>
        <v>28</v>
      </c>
      <c r="F69" s="19">
        <f t="shared" si="1"/>
        <v>1.003197998313226</v>
      </c>
      <c r="G69" s="18"/>
      <c r="H69" s="17"/>
      <c r="I69" s="14"/>
      <c r="J69" s="14"/>
      <c r="K69" s="14"/>
      <c r="L69" s="14"/>
      <c r="M69" s="14"/>
      <c r="N69" s="14"/>
    </row>
    <row r="70" spans="1:14" x14ac:dyDescent="0.25">
      <c r="A70" s="15">
        <v>40303</v>
      </c>
      <c r="B70" s="12">
        <v>0.25</v>
      </c>
      <c r="C70" s="13">
        <v>4.5</v>
      </c>
      <c r="D70" s="19">
        <f t="shared" si="2"/>
        <v>4.4999999999999998E-2</v>
      </c>
      <c r="E70" s="14">
        <f t="shared" si="3"/>
        <v>182</v>
      </c>
      <c r="F70" s="19">
        <f t="shared" si="1"/>
        <v>1.0221907780118511</v>
      </c>
      <c r="G70" s="18"/>
      <c r="H70" s="17"/>
      <c r="I70" s="14"/>
      <c r="J70" s="14"/>
      <c r="K70" s="14"/>
      <c r="L70" s="14"/>
      <c r="M70" s="14"/>
      <c r="N70" s="14"/>
    </row>
    <row r="71" spans="1:14" x14ac:dyDescent="0.25">
      <c r="A71" s="15">
        <v>40485</v>
      </c>
      <c r="B71" s="12">
        <v>0.25</v>
      </c>
      <c r="C71" s="13">
        <v>4.75</v>
      </c>
      <c r="D71" s="19">
        <f t="shared" si="2"/>
        <v>4.7500000000000001E-2</v>
      </c>
      <c r="E71" s="14">
        <f t="shared" si="3"/>
        <v>364</v>
      </c>
      <c r="F71" s="19">
        <f t="shared" si="1"/>
        <v>1.0473668285330002</v>
      </c>
      <c r="G71" s="18"/>
      <c r="H71" s="17"/>
      <c r="I71" s="14"/>
      <c r="J71" s="14"/>
      <c r="K71" s="14"/>
      <c r="L71" s="14"/>
      <c r="M71" s="14"/>
      <c r="N71" s="14"/>
    </row>
    <row r="72" spans="1:14" x14ac:dyDescent="0.25">
      <c r="A72" s="15">
        <v>40849</v>
      </c>
      <c r="B72" s="12">
        <v>-0.25</v>
      </c>
      <c r="C72" s="13">
        <v>4.5</v>
      </c>
      <c r="D72" s="19">
        <f t="shared" si="2"/>
        <v>4.4999999999999998E-2</v>
      </c>
      <c r="E72" s="14">
        <f t="shared" si="3"/>
        <v>35</v>
      </c>
      <c r="F72" s="19">
        <f t="shared" si="1"/>
        <v>1.0042297173419579</v>
      </c>
      <c r="G72" s="18">
        <f t="shared" si="5"/>
        <v>2.1205200686995385E-2</v>
      </c>
      <c r="H72" s="17">
        <f>SUM(D72:D73)/2</f>
        <v>4.3749999999999997E-2</v>
      </c>
      <c r="I72" s="14"/>
      <c r="J72" s="14"/>
      <c r="K72" s="14"/>
      <c r="L72" s="14"/>
      <c r="M72" s="14"/>
      <c r="N72" s="14"/>
    </row>
    <row r="73" spans="1:14" x14ac:dyDescent="0.25">
      <c r="A73" s="15">
        <v>40884</v>
      </c>
      <c r="B73" s="12">
        <v>-0.25</v>
      </c>
      <c r="C73" s="13">
        <v>4.25</v>
      </c>
      <c r="D73" s="19">
        <f t="shared" si="2"/>
        <v>4.2500000000000003E-2</v>
      </c>
      <c r="E73" s="14">
        <f t="shared" si="3"/>
        <v>147</v>
      </c>
      <c r="F73" s="19">
        <f t="shared" si="1"/>
        <v>1.0169039842696241</v>
      </c>
      <c r="G73" s="18"/>
      <c r="H73" s="17"/>
      <c r="I73" s="14"/>
      <c r="J73" s="14"/>
      <c r="K73" s="14"/>
      <c r="L73" s="14"/>
      <c r="M73" s="14"/>
      <c r="N73" s="14"/>
    </row>
    <row r="74" spans="1:14" x14ac:dyDescent="0.25">
      <c r="A74" s="15">
        <v>41031</v>
      </c>
      <c r="B74" s="12">
        <v>-0.5</v>
      </c>
      <c r="C74" s="13">
        <v>3.75</v>
      </c>
      <c r="D74" s="19">
        <f t="shared" si="2"/>
        <v>3.7499999999999999E-2</v>
      </c>
      <c r="E74" s="14">
        <f t="shared" si="3"/>
        <v>35</v>
      </c>
      <c r="F74" s="19">
        <f t="shared" si="1"/>
        <v>1.0035363451778292</v>
      </c>
      <c r="G74" s="18">
        <f t="shared" si="5"/>
        <v>1.4855171998268357E-2</v>
      </c>
      <c r="H74" s="17">
        <f>SUM(D74:D77)/4</f>
        <v>3.3750000000000002E-2</v>
      </c>
      <c r="I74" s="14"/>
      <c r="J74" s="14"/>
      <c r="K74" s="14"/>
      <c r="L74" s="14"/>
      <c r="M74" s="14"/>
      <c r="N74" s="14"/>
    </row>
    <row r="75" spans="1:14" x14ac:dyDescent="0.25">
      <c r="A75" s="15">
        <v>41066</v>
      </c>
      <c r="B75" s="12">
        <v>-0.25</v>
      </c>
      <c r="C75" s="13">
        <v>3.5</v>
      </c>
      <c r="D75" s="19">
        <f t="shared" si="2"/>
        <v>3.5000000000000003E-2</v>
      </c>
      <c r="E75" s="14">
        <f t="shared" si="3"/>
        <v>119</v>
      </c>
      <c r="F75" s="19">
        <f t="shared" si="1"/>
        <v>1.0112789405932612</v>
      </c>
      <c r="G75" s="18"/>
      <c r="H75" s="17"/>
      <c r="I75" s="14"/>
      <c r="J75" s="14"/>
      <c r="K75" s="14"/>
      <c r="L75" s="14"/>
      <c r="M75" s="14"/>
      <c r="N75" s="14"/>
    </row>
    <row r="76" spans="1:14" x14ac:dyDescent="0.25">
      <c r="A76" s="15">
        <v>41185</v>
      </c>
      <c r="B76" s="12">
        <v>-0.25</v>
      </c>
      <c r="C76" s="13">
        <v>3.25</v>
      </c>
      <c r="D76" s="19">
        <f t="shared" si="2"/>
        <v>3.2500000000000001E-2</v>
      </c>
      <c r="E76" s="14">
        <f t="shared" si="3"/>
        <v>63</v>
      </c>
      <c r="F76" s="19">
        <f t="shared" si="1"/>
        <v>1.0055356266106878</v>
      </c>
      <c r="G76" s="18"/>
      <c r="H76" s="17"/>
      <c r="I76" s="14"/>
      <c r="J76" s="14"/>
      <c r="K76" s="14"/>
      <c r="L76" s="14"/>
      <c r="M76" s="14"/>
      <c r="N76" s="14"/>
    </row>
    <row r="77" spans="1:14" x14ac:dyDescent="0.25">
      <c r="A77" s="15">
        <v>41248</v>
      </c>
      <c r="B77" s="12">
        <v>-0.25</v>
      </c>
      <c r="C77" s="13">
        <v>3</v>
      </c>
      <c r="D77" s="19">
        <f t="shared" si="2"/>
        <v>0.03</v>
      </c>
      <c r="E77" s="14">
        <f t="shared" si="3"/>
        <v>154</v>
      </c>
      <c r="F77" s="19">
        <f t="shared" si="1"/>
        <v>1.0125494770788295</v>
      </c>
      <c r="G77" s="18"/>
      <c r="H77" s="17"/>
      <c r="I77" s="14"/>
      <c r="J77" s="14"/>
      <c r="K77" s="14"/>
      <c r="L77" s="14"/>
      <c r="M77" s="14"/>
      <c r="N77" s="14"/>
    </row>
    <row r="78" spans="1:14" x14ac:dyDescent="0.25">
      <c r="A78" s="15">
        <v>41402</v>
      </c>
      <c r="B78" s="12">
        <v>-0.25</v>
      </c>
      <c r="C78" s="13">
        <v>2.75</v>
      </c>
      <c r="D78" s="19">
        <f t="shared" si="2"/>
        <v>2.75E-2</v>
      </c>
      <c r="E78" s="14">
        <f t="shared" si="3"/>
        <v>91</v>
      </c>
      <c r="F78" s="19">
        <f t="shared" si="1"/>
        <v>1.0067865102681444</v>
      </c>
      <c r="G78" s="18">
        <f>PRODUCT(F78:F79)-1</f>
        <v>1.6848645591915234E-2</v>
      </c>
      <c r="H78" s="17">
        <f>SUM(D78:D79)/2</f>
        <v>2.6250000000000002E-2</v>
      </c>
      <c r="I78" s="14"/>
      <c r="J78" s="14"/>
      <c r="K78" s="14"/>
      <c r="L78" s="14"/>
      <c r="M78" s="14"/>
      <c r="N78" s="14"/>
    </row>
    <row r="79" spans="1:14" x14ac:dyDescent="0.25">
      <c r="A79" s="15">
        <v>41493</v>
      </c>
      <c r="B79" s="12">
        <v>-0.25</v>
      </c>
      <c r="C79" s="13">
        <v>2.5</v>
      </c>
      <c r="D79" s="19">
        <f t="shared" si="2"/>
        <v>2.5000000000000001E-2</v>
      </c>
      <c r="E79" s="14">
        <f t="shared" si="3"/>
        <v>147</v>
      </c>
      <c r="F79" s="19">
        <f t="shared" si="1"/>
        <v>1.009994308844177</v>
      </c>
      <c r="G79" s="18"/>
      <c r="H79" s="17"/>
      <c r="I79" s="14"/>
      <c r="J79" s="14"/>
      <c r="K79" s="14"/>
      <c r="L79" s="14"/>
      <c r="M79" s="14"/>
      <c r="N79" s="14"/>
    </row>
    <row r="80" spans="1:14" x14ac:dyDescent="0.25">
      <c r="A80" s="15">
        <v>41640</v>
      </c>
      <c r="B80" s="12">
        <v>0</v>
      </c>
      <c r="C80" s="13">
        <v>2.5</v>
      </c>
      <c r="D80" s="19">
        <f t="shared" si="2"/>
        <v>2.5000000000000001E-2</v>
      </c>
      <c r="E80" s="14">
        <f t="shared" si="3"/>
        <v>399</v>
      </c>
      <c r="F80" s="19">
        <f t="shared" si="1"/>
        <v>1.0273603506404028</v>
      </c>
      <c r="G80" s="18">
        <f>PRODUCT(F80:F80)-1</f>
        <v>2.7360350640402764E-2</v>
      </c>
      <c r="H80" s="17">
        <f>SUM(D80:D80)</f>
        <v>2.5000000000000001E-2</v>
      </c>
      <c r="I80" s="14"/>
      <c r="J80" s="14"/>
      <c r="K80" s="14"/>
      <c r="L80" s="14"/>
      <c r="M80" s="14"/>
      <c r="N80" s="14"/>
    </row>
    <row r="81" spans="1:14" x14ac:dyDescent="0.25">
      <c r="A81" s="15">
        <v>42039</v>
      </c>
      <c r="B81" s="12">
        <v>-0.25</v>
      </c>
      <c r="C81" s="13">
        <v>2.25</v>
      </c>
      <c r="D81" s="19">
        <f t="shared" si="2"/>
        <v>2.2499999999999999E-2</v>
      </c>
      <c r="E81" s="14">
        <f t="shared" si="3"/>
        <v>91</v>
      </c>
      <c r="F81" s="19">
        <f t="shared" si="1"/>
        <v>1.0055628274730277</v>
      </c>
      <c r="G81" s="18">
        <f>PRODUCT(F81:F82)-1</f>
        <v>2.5618438842631042E-2</v>
      </c>
      <c r="H81" s="17">
        <f>SUM(D81:D82)/2</f>
        <v>2.1249999999999998E-2</v>
      </c>
      <c r="I81" s="14"/>
      <c r="J81" s="14"/>
      <c r="K81" s="14"/>
      <c r="L81" s="14"/>
      <c r="M81" s="14"/>
      <c r="N81" s="14"/>
    </row>
    <row r="82" spans="1:14" x14ac:dyDescent="0.25">
      <c r="A82" s="15">
        <v>42130</v>
      </c>
      <c r="B82" s="12">
        <v>-0.25</v>
      </c>
      <c r="C82" s="13">
        <v>2</v>
      </c>
      <c r="D82" s="19">
        <f t="shared" si="2"/>
        <v>0.02</v>
      </c>
      <c r="E82" s="14">
        <f t="shared" si="3"/>
        <v>364</v>
      </c>
      <c r="F82" s="19">
        <f t="shared" si="1"/>
        <v>1.019944662652261</v>
      </c>
      <c r="G82" s="18"/>
      <c r="H82" s="17"/>
      <c r="I82" s="14"/>
      <c r="J82" s="14"/>
      <c r="K82" s="14"/>
      <c r="L82" s="14"/>
      <c r="M82" s="14"/>
      <c r="N82" s="14"/>
    </row>
    <row r="83" spans="1:14" x14ac:dyDescent="0.25">
      <c r="A83" s="15">
        <v>42494</v>
      </c>
      <c r="B83" s="12">
        <v>-0.25</v>
      </c>
      <c r="C83" s="13">
        <v>1.75</v>
      </c>
      <c r="D83" s="19">
        <f>C83/100</f>
        <v>1.7500000000000002E-2</v>
      </c>
      <c r="E83" s="14">
        <f t="shared" si="3"/>
        <v>91</v>
      </c>
      <c r="F83" s="19">
        <f t="shared" si="1"/>
        <v>1.0043346444658483</v>
      </c>
      <c r="G83" s="18">
        <f>PRODUCT(F83:F84)-1</f>
        <v>1.0539832357175261E-2</v>
      </c>
      <c r="H83" s="17">
        <f>SUM(D83:D84)/2</f>
        <v>1.6250000000000001E-2</v>
      </c>
      <c r="I83" s="14"/>
      <c r="J83" s="14"/>
      <c r="K83" s="14"/>
      <c r="L83" s="14"/>
      <c r="M83" s="14"/>
      <c r="N83" s="14"/>
    </row>
    <row r="84" spans="1:14" x14ac:dyDescent="0.25">
      <c r="A84" s="15">
        <v>42585</v>
      </c>
      <c r="B84" s="12">
        <v>-0.25</v>
      </c>
      <c r="C84" s="13">
        <v>1.5</v>
      </c>
      <c r="D84" s="19">
        <f>C84/100</f>
        <v>1.4999999999999999E-2</v>
      </c>
      <c r="E84" s="14">
        <f t="shared" si="3"/>
        <v>151</v>
      </c>
      <c r="F84" s="19">
        <f t="shared" si="1"/>
        <v>1.0061784066949391</v>
      </c>
      <c r="G84" s="18"/>
      <c r="H84" s="17"/>
      <c r="I84" s="14"/>
      <c r="J84" s="14"/>
      <c r="K84" s="14"/>
      <c r="L84" s="14"/>
      <c r="M84" s="14"/>
      <c r="N84" s="14"/>
    </row>
    <row r="85" spans="1:14" x14ac:dyDescent="0.25">
      <c r="A85" s="15">
        <v>42736</v>
      </c>
      <c r="B85" s="16">
        <v>0</v>
      </c>
      <c r="C85" s="13">
        <v>1.5</v>
      </c>
      <c r="D85" s="19">
        <f t="shared" ref="D85:D86" si="7">C85/100</f>
        <v>1.4999999999999999E-2</v>
      </c>
      <c r="E85" s="14">
        <f t="shared" si="3"/>
        <v>365</v>
      </c>
      <c r="F85" s="19">
        <f t="shared" si="1"/>
        <v>1.0149999999999999</v>
      </c>
      <c r="G85" s="18">
        <f>PRODUCT(F85)-1</f>
        <v>1.4999999999999902E-2</v>
      </c>
      <c r="H85" s="17">
        <f>SUM(D85:D85)</f>
        <v>1.4999999999999999E-2</v>
      </c>
    </row>
    <row r="86" spans="1:14" x14ac:dyDescent="0.25">
      <c r="A86" s="15">
        <v>43101</v>
      </c>
      <c r="B86" s="16">
        <v>0</v>
      </c>
      <c r="C86" s="13">
        <v>1.5</v>
      </c>
      <c r="D86" s="19">
        <f t="shared" si="7"/>
        <v>1.4999999999999999E-2</v>
      </c>
      <c r="E86" s="14">
        <f>A87-A86</f>
        <v>520</v>
      </c>
      <c r="F86" s="19">
        <f t="shared" si="1"/>
        <v>1.0214377299180073</v>
      </c>
      <c r="G86" s="18">
        <f>PRODUCT(F86)-1</f>
        <v>2.1437729918007298E-2</v>
      </c>
      <c r="H86" s="17">
        <f t="shared" ref="H86" si="8">SUM(D86:D86)</f>
        <v>1.4999999999999999E-2</v>
      </c>
    </row>
    <row r="87" spans="1:14" x14ac:dyDescent="0.25">
      <c r="A87" s="15">
        <v>43621</v>
      </c>
      <c r="B87" s="12">
        <v>-0.25</v>
      </c>
      <c r="C87" s="13">
        <v>1.25</v>
      </c>
      <c r="D87" s="19">
        <f t="shared" si="2"/>
        <v>1.2500000000000001E-2</v>
      </c>
      <c r="E87" s="14">
        <f t="shared" si="3"/>
        <v>28</v>
      </c>
      <c r="F87" s="19">
        <f t="shared" si="1"/>
        <v>1.0009534146493142</v>
      </c>
      <c r="G87" s="18">
        <f>PRODUCT(F87:F89)-1</f>
        <v>6.6080413770477353E-3</v>
      </c>
      <c r="H87" s="17">
        <f>SUM(D87:D89)/3</f>
        <v>0.01</v>
      </c>
      <c r="I87" s="14"/>
      <c r="J87" s="14"/>
      <c r="K87" s="14"/>
      <c r="L87" s="14"/>
      <c r="M87" s="14"/>
      <c r="N87" s="14"/>
    </row>
    <row r="88" spans="1:14" x14ac:dyDescent="0.25">
      <c r="A88" s="15">
        <v>43649</v>
      </c>
      <c r="B88" s="12">
        <v>-0.25</v>
      </c>
      <c r="C88" s="13">
        <v>1</v>
      </c>
      <c r="D88" s="19">
        <f t="shared" si="2"/>
        <v>0.01</v>
      </c>
      <c r="E88" s="14">
        <f t="shared" si="3"/>
        <v>91</v>
      </c>
      <c r="F88" s="19">
        <f t="shared" ref="F88:F106" si="9">(1+D88)^(E88/365)</f>
        <v>1.0024838470677835</v>
      </c>
      <c r="G88" s="18"/>
      <c r="H88" s="17"/>
      <c r="I88" s="14"/>
      <c r="J88" s="14"/>
      <c r="K88" s="14"/>
      <c r="L88" s="14"/>
      <c r="M88" s="14"/>
      <c r="N88" s="14"/>
    </row>
    <row r="89" spans="1:14" x14ac:dyDescent="0.25">
      <c r="A89" s="15">
        <v>43740</v>
      </c>
      <c r="B89" s="12">
        <v>-0.25</v>
      </c>
      <c r="C89" s="13">
        <v>0.75</v>
      </c>
      <c r="D89" s="19">
        <f t="shared" si="2"/>
        <v>7.4999999999999997E-3</v>
      </c>
      <c r="E89" s="14">
        <f t="shared" si="3"/>
        <v>154</v>
      </c>
      <c r="F89" s="19">
        <f t="shared" si="9"/>
        <v>1.0031575507180559</v>
      </c>
      <c r="G89" s="18"/>
      <c r="H89" s="17"/>
      <c r="I89" s="14"/>
      <c r="J89" s="14"/>
      <c r="K89" s="14"/>
      <c r="L89" s="14"/>
      <c r="M89" s="14"/>
      <c r="N89" s="14"/>
    </row>
    <row r="90" spans="1:14" x14ac:dyDescent="0.25">
      <c r="A90" s="15">
        <v>43894</v>
      </c>
      <c r="B90" s="12">
        <v>-0.25</v>
      </c>
      <c r="C90" s="13">
        <v>0.5</v>
      </c>
      <c r="D90" s="19">
        <f t="shared" si="2"/>
        <v>5.0000000000000001E-3</v>
      </c>
      <c r="E90" s="14">
        <f t="shared" si="3"/>
        <v>16</v>
      </c>
      <c r="F90" s="19">
        <f t="shared" si="9"/>
        <v>1.0002186558583563</v>
      </c>
      <c r="G90" s="18">
        <f>PRODUCT(F90:F92)-1</f>
        <v>1.9458832413057348E-3</v>
      </c>
      <c r="H90" s="17">
        <f>SUM(D90:D92)/3</f>
        <v>2.8333333333333335E-3</v>
      </c>
      <c r="I90" s="14"/>
      <c r="J90" s="14"/>
      <c r="K90" s="14"/>
      <c r="L90" s="14"/>
      <c r="M90" s="14"/>
      <c r="N90" s="14"/>
    </row>
    <row r="91" spans="1:14" x14ac:dyDescent="0.25">
      <c r="A91" s="15">
        <v>43910</v>
      </c>
      <c r="B91" s="12">
        <v>-0.25</v>
      </c>
      <c r="C91" s="13">
        <v>0.25</v>
      </c>
      <c r="D91" s="19">
        <f t="shared" ref="D91:D107" si="10">C91/100</f>
        <v>2.5000000000000001E-3</v>
      </c>
      <c r="E91" s="14">
        <f t="shared" si="3"/>
        <v>229</v>
      </c>
      <c r="F91" s="19">
        <f t="shared" si="9"/>
        <v>1.0015677634539988</v>
      </c>
      <c r="G91" s="18"/>
      <c r="H91" s="17"/>
      <c r="I91" s="14"/>
      <c r="J91" s="14"/>
      <c r="K91" s="14"/>
      <c r="L91" s="14"/>
      <c r="M91" s="14"/>
      <c r="N91" s="14"/>
    </row>
    <row r="92" spans="1:14" x14ac:dyDescent="0.25">
      <c r="A92" s="15">
        <v>44139</v>
      </c>
      <c r="B92" s="12">
        <v>-0.15</v>
      </c>
      <c r="C92" s="13">
        <v>0.1</v>
      </c>
      <c r="D92" s="19">
        <f t="shared" si="10"/>
        <v>1E-3</v>
      </c>
      <c r="E92" s="14">
        <f t="shared" si="3"/>
        <v>58</v>
      </c>
      <c r="F92" s="19">
        <f t="shared" si="9"/>
        <v>1.0001588373237746</v>
      </c>
      <c r="G92" s="18"/>
      <c r="H92" s="17"/>
      <c r="I92" s="14"/>
      <c r="J92" s="14"/>
      <c r="K92" s="14"/>
      <c r="L92" s="14"/>
      <c r="M92" s="14"/>
      <c r="N92" s="14"/>
    </row>
    <row r="93" spans="1:14" x14ac:dyDescent="0.25">
      <c r="A93" s="15">
        <v>44197</v>
      </c>
      <c r="B93" s="12">
        <v>0</v>
      </c>
      <c r="C93" s="13">
        <v>0.1</v>
      </c>
      <c r="D93" s="19">
        <f t="shared" si="10"/>
        <v>1E-3</v>
      </c>
      <c r="E93" s="14">
        <f t="shared" si="3"/>
        <v>488</v>
      </c>
      <c r="F93" s="19">
        <f t="shared" si="9"/>
        <v>1.0013372115246384</v>
      </c>
      <c r="G93" s="18">
        <f>PRODUCT(F93:F93)-1</f>
        <v>1.3372115246383931E-3</v>
      </c>
      <c r="H93" s="17">
        <f>SUM(D93:D93)</f>
        <v>1E-3</v>
      </c>
      <c r="I93" s="14"/>
      <c r="J93" s="14"/>
      <c r="K93" s="14"/>
      <c r="L93" s="14"/>
      <c r="M93" s="14"/>
      <c r="N93" s="14"/>
    </row>
    <row r="94" spans="1:14" x14ac:dyDescent="0.25">
      <c r="A94" s="15">
        <v>44685</v>
      </c>
      <c r="B94" s="12">
        <v>0.25</v>
      </c>
      <c r="C94" s="13">
        <v>0.35</v>
      </c>
      <c r="D94" s="19">
        <f t="shared" si="10"/>
        <v>3.4999999999999996E-3</v>
      </c>
      <c r="E94" s="14">
        <f t="shared" ref="E94:E107" si="11">A95-A94</f>
        <v>35</v>
      </c>
      <c r="F94" s="19">
        <f t="shared" si="9"/>
        <v>1.0003350866054137</v>
      </c>
      <c r="G94" s="18">
        <f>PRODUCT(F94:F101)-1</f>
        <v>1.5606305333477177E-2</v>
      </c>
      <c r="H94" s="17">
        <f>SUM(D94:D101)/7</f>
        <v>2.1857142857142856E-2</v>
      </c>
      <c r="I94" s="14"/>
      <c r="J94" s="14"/>
      <c r="K94" s="14"/>
      <c r="L94" s="14"/>
      <c r="M94" s="14"/>
      <c r="N94" s="14"/>
    </row>
    <row r="95" spans="1:14" x14ac:dyDescent="0.25">
      <c r="A95" s="15">
        <v>44720</v>
      </c>
      <c r="B95" s="12">
        <v>0.5</v>
      </c>
      <c r="C95" s="13">
        <v>0.85</v>
      </c>
      <c r="D95" s="19">
        <f t="shared" si="10"/>
        <v>8.5000000000000006E-3</v>
      </c>
      <c r="E95" s="14">
        <f t="shared" si="11"/>
        <v>28</v>
      </c>
      <c r="F95" s="19">
        <f t="shared" si="9"/>
        <v>1.0006495100061956</v>
      </c>
      <c r="G95" s="18"/>
      <c r="H95" s="17"/>
      <c r="I95" s="14"/>
      <c r="J95" s="14"/>
      <c r="K95" s="14"/>
      <c r="L95" s="14"/>
      <c r="M95" s="14"/>
      <c r="N95" s="14"/>
    </row>
    <row r="96" spans="1:14" x14ac:dyDescent="0.25">
      <c r="A96" s="15">
        <v>44748</v>
      </c>
      <c r="B96" s="12">
        <v>0.5</v>
      </c>
      <c r="C96" s="13">
        <v>1.35</v>
      </c>
      <c r="D96" s="19">
        <f t="shared" si="10"/>
        <v>1.3500000000000002E-2</v>
      </c>
      <c r="E96" s="14">
        <f t="shared" si="11"/>
        <v>28</v>
      </c>
      <c r="F96" s="19">
        <f t="shared" si="9"/>
        <v>1.0010292175921913</v>
      </c>
      <c r="G96" s="18"/>
      <c r="H96" s="17"/>
      <c r="I96" s="14"/>
      <c r="J96" s="14"/>
      <c r="K96" s="14"/>
      <c r="L96" s="14"/>
      <c r="M96" s="14"/>
      <c r="N96" s="14"/>
    </row>
    <row r="97" spans="1:14" x14ac:dyDescent="0.25">
      <c r="A97" s="15">
        <v>44776</v>
      </c>
      <c r="B97" s="12">
        <v>0.5</v>
      </c>
      <c r="C97" s="13">
        <v>1.85</v>
      </c>
      <c r="D97" s="19">
        <f t="shared" si="10"/>
        <v>1.8500000000000003E-2</v>
      </c>
      <c r="E97" s="14">
        <f t="shared" si="11"/>
        <v>35</v>
      </c>
      <c r="F97" s="19">
        <f t="shared" si="9"/>
        <v>1.0017593087406638</v>
      </c>
      <c r="G97" s="18"/>
      <c r="H97" s="17"/>
      <c r="I97" s="14"/>
      <c r="J97" s="14"/>
      <c r="K97" s="14"/>
      <c r="L97" s="14"/>
      <c r="M97" s="14"/>
      <c r="N97" s="14"/>
    </row>
    <row r="98" spans="1:14" x14ac:dyDescent="0.25">
      <c r="A98" s="15">
        <v>44811</v>
      </c>
      <c r="B98" s="12">
        <v>0.5</v>
      </c>
      <c r="C98" s="13">
        <v>2.35</v>
      </c>
      <c r="D98" s="19">
        <f t="shared" si="10"/>
        <v>2.35E-2</v>
      </c>
      <c r="E98" s="14">
        <f t="shared" si="11"/>
        <v>28</v>
      </c>
      <c r="F98" s="19">
        <f t="shared" si="9"/>
        <v>1.0017834721455336</v>
      </c>
      <c r="G98" s="18"/>
      <c r="H98" s="17"/>
      <c r="I98" s="14"/>
      <c r="J98" s="14"/>
      <c r="K98" s="14"/>
      <c r="L98" s="14"/>
      <c r="M98" s="14"/>
      <c r="N98" s="14"/>
    </row>
    <row r="99" spans="1:14" x14ac:dyDescent="0.25">
      <c r="A99" s="15">
        <v>44839</v>
      </c>
      <c r="B99" s="12">
        <v>0.25</v>
      </c>
      <c r="C99" s="13">
        <v>2.6</v>
      </c>
      <c r="D99" s="19">
        <f t="shared" si="10"/>
        <v>2.6000000000000002E-2</v>
      </c>
      <c r="E99" s="14">
        <f t="shared" si="11"/>
        <v>28</v>
      </c>
      <c r="F99" s="19">
        <f t="shared" si="9"/>
        <v>1.001970972445011</v>
      </c>
      <c r="G99" s="18"/>
      <c r="H99" s="17"/>
      <c r="I99" s="14"/>
      <c r="J99" s="14"/>
      <c r="K99" s="14"/>
      <c r="L99" s="14"/>
      <c r="M99" s="14"/>
      <c r="N99" s="14"/>
    </row>
    <row r="100" spans="1:14" x14ac:dyDescent="0.25">
      <c r="A100" s="15">
        <v>44867</v>
      </c>
      <c r="B100" s="12">
        <v>0.25</v>
      </c>
      <c r="C100" s="13">
        <v>2.85</v>
      </c>
      <c r="D100" s="19">
        <f t="shared" si="10"/>
        <v>2.8500000000000001E-2</v>
      </c>
      <c r="E100" s="14">
        <f t="shared" si="11"/>
        <v>35</v>
      </c>
      <c r="F100" s="19">
        <f t="shared" si="9"/>
        <v>1.0026982915351397</v>
      </c>
      <c r="G100" s="18"/>
      <c r="H100" s="17"/>
      <c r="I100" s="14"/>
      <c r="J100" s="14"/>
      <c r="K100" s="14"/>
      <c r="L100" s="14"/>
      <c r="M100" s="14"/>
      <c r="N100" s="14"/>
    </row>
    <row r="101" spans="1:14" x14ac:dyDescent="0.25">
      <c r="A101" s="15">
        <v>44902</v>
      </c>
      <c r="B101" s="12">
        <v>0.25</v>
      </c>
      <c r="C101" s="13">
        <v>3.1</v>
      </c>
      <c r="D101" s="19">
        <f t="shared" si="10"/>
        <v>3.1E-2</v>
      </c>
      <c r="E101" s="14">
        <f t="shared" si="11"/>
        <v>63</v>
      </c>
      <c r="F101" s="19">
        <f t="shared" si="9"/>
        <v>1.0052833322656141</v>
      </c>
      <c r="G101" s="18"/>
      <c r="H101" s="17"/>
      <c r="I101" s="14"/>
      <c r="J101" s="14"/>
      <c r="K101" s="14"/>
      <c r="L101" s="14"/>
      <c r="M101" s="14"/>
      <c r="N101" s="14"/>
    </row>
    <row r="102" spans="1:14" x14ac:dyDescent="0.25">
      <c r="A102" s="15">
        <v>44965</v>
      </c>
      <c r="B102" s="12">
        <v>0.25</v>
      </c>
      <c r="C102" s="13">
        <v>3.35</v>
      </c>
      <c r="D102" s="19">
        <f t="shared" si="10"/>
        <v>3.3500000000000002E-2</v>
      </c>
      <c r="E102" s="14">
        <f t="shared" si="11"/>
        <v>28</v>
      </c>
      <c r="F102" s="19">
        <f t="shared" si="9"/>
        <v>1.0025309530949809</v>
      </c>
      <c r="G102" s="18">
        <f>PRODUCT(F102:F106)-1</f>
        <v>7.520377292031033E-2</v>
      </c>
      <c r="H102" s="17">
        <f>SUM(D102:D106)/5</f>
        <v>3.85E-2</v>
      </c>
      <c r="I102" s="14"/>
      <c r="J102" s="14"/>
      <c r="K102" s="14"/>
      <c r="L102" s="14"/>
      <c r="M102" s="14"/>
      <c r="N102" s="14"/>
    </row>
    <row r="103" spans="1:14" x14ac:dyDescent="0.25">
      <c r="A103" s="15">
        <v>44993</v>
      </c>
      <c r="B103" s="12">
        <v>0.25</v>
      </c>
      <c r="C103" s="13">
        <v>3.6</v>
      </c>
      <c r="D103" s="19">
        <f t="shared" si="10"/>
        <v>3.6000000000000004E-2</v>
      </c>
      <c r="E103" s="14">
        <f t="shared" si="11"/>
        <v>56</v>
      </c>
      <c r="F103" s="19">
        <f t="shared" si="9"/>
        <v>1.0054409403745326</v>
      </c>
      <c r="G103" s="18"/>
      <c r="H103" s="17"/>
      <c r="I103" s="14"/>
      <c r="J103" s="14"/>
      <c r="K103" s="14"/>
      <c r="L103" s="14"/>
      <c r="M103" s="14"/>
      <c r="N103" s="14"/>
    </row>
    <row r="104" spans="1:14" x14ac:dyDescent="0.25">
      <c r="A104" s="15">
        <v>45049</v>
      </c>
      <c r="B104" s="12">
        <v>0.25</v>
      </c>
      <c r="C104" s="13">
        <v>3.85</v>
      </c>
      <c r="D104" s="19">
        <f t="shared" si="10"/>
        <v>3.85E-2</v>
      </c>
      <c r="E104" s="14">
        <f t="shared" si="11"/>
        <v>35</v>
      </c>
      <c r="F104" s="19">
        <f t="shared" si="9"/>
        <v>1.003629056126742</v>
      </c>
      <c r="G104" s="18"/>
      <c r="H104" s="17"/>
      <c r="I104" s="14"/>
      <c r="J104" s="14"/>
      <c r="K104" s="14"/>
      <c r="L104" s="14"/>
      <c r="M104" s="14"/>
      <c r="N104" s="14"/>
    </row>
    <row r="105" spans="1:14" x14ac:dyDescent="0.25">
      <c r="A105" s="15">
        <v>45084</v>
      </c>
      <c r="B105" s="12">
        <v>0.25</v>
      </c>
      <c r="C105" s="13">
        <v>4.0999999999999996</v>
      </c>
      <c r="D105" s="19">
        <f t="shared" si="10"/>
        <v>4.0999999999999995E-2</v>
      </c>
      <c r="E105" s="14">
        <f t="shared" si="11"/>
        <v>154</v>
      </c>
      <c r="F105" s="19">
        <f t="shared" si="9"/>
        <v>1.0170979372854505</v>
      </c>
      <c r="G105" s="18"/>
      <c r="H105" s="17"/>
      <c r="I105" s="14"/>
      <c r="J105" s="14"/>
      <c r="K105" s="14"/>
      <c r="L105" s="14"/>
      <c r="M105" s="14"/>
      <c r="N105" s="14"/>
    </row>
    <row r="106" spans="1:14" x14ac:dyDescent="0.25">
      <c r="A106" s="15">
        <v>45238</v>
      </c>
      <c r="B106" s="12">
        <v>0.25</v>
      </c>
      <c r="C106" s="13">
        <v>4.3499999999999996</v>
      </c>
      <c r="D106" s="19">
        <f t="shared" si="10"/>
        <v>4.3499999999999997E-2</v>
      </c>
      <c r="E106" s="14">
        <f t="shared" si="11"/>
        <v>377</v>
      </c>
      <c r="F106" s="19">
        <f t="shared" si="9"/>
        <v>1.0449618239660539</v>
      </c>
      <c r="G106" s="18"/>
      <c r="H106" s="17"/>
      <c r="I106" s="14"/>
      <c r="J106" s="14"/>
      <c r="K106" s="14"/>
      <c r="L106" s="14"/>
      <c r="M106" s="14"/>
      <c r="N106" s="14"/>
    </row>
    <row r="107" spans="1:14" x14ac:dyDescent="0.25">
      <c r="A107" s="15">
        <v>45615</v>
      </c>
      <c r="B107" s="12">
        <v>0</v>
      </c>
      <c r="C107" s="13">
        <v>4.3499999999999996</v>
      </c>
      <c r="D107" s="17">
        <f t="shared" si="10"/>
        <v>4.3499999999999997E-2</v>
      </c>
      <c r="E107" s="14">
        <f t="shared" si="11"/>
        <v>-45615</v>
      </c>
      <c r="F107" s="19">
        <f>(1+D107)^(E107/365)</f>
        <v>4.8859606769485467E-3</v>
      </c>
      <c r="G107" s="18"/>
      <c r="H107" s="17">
        <f t="shared" ref="H107" si="12">SUM(D107:D109)/3</f>
        <v>1.4499999999999999E-2</v>
      </c>
      <c r="I107" s="14"/>
      <c r="J107" s="14"/>
      <c r="K107" s="14"/>
      <c r="L107" s="14"/>
      <c r="M107" s="14"/>
      <c r="N107" s="14"/>
    </row>
    <row r="108" spans="1:14" x14ac:dyDescent="0.25">
      <c r="A108" s="15"/>
      <c r="B108" s="12"/>
      <c r="C108" s="13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4" x14ac:dyDescent="0.25">
      <c r="A109" s="15"/>
      <c r="B109" s="12"/>
      <c r="C109" s="13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4" x14ac:dyDescent="0.25">
      <c r="A110" s="15"/>
      <c r="B110" s="12"/>
      <c r="C110" s="13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4" x14ac:dyDescent="0.25">
      <c r="A111" s="15"/>
      <c r="B111" s="12"/>
      <c r="C111" s="13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4" x14ac:dyDescent="0.25">
      <c r="A112" s="15"/>
      <c r="B112" s="12"/>
      <c r="C112" s="13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4" x14ac:dyDescent="0.25">
      <c r="A113" s="15"/>
      <c r="B113" s="16"/>
      <c r="C113" s="13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</row>
    <row r="114" spans="1:14" x14ac:dyDescent="0.25">
      <c r="A114" s="15"/>
      <c r="B114" s="16"/>
      <c r="C114" s="13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</row>
    <row r="115" spans="1:14" x14ac:dyDescent="0.25">
      <c r="A115" s="15"/>
      <c r="B115" s="16"/>
      <c r="C115" s="13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</row>
    <row r="116" spans="1:14" x14ac:dyDescent="0.25">
      <c r="A116" s="15"/>
      <c r="B116" s="16"/>
      <c r="C116" s="13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</row>
    <row r="117" spans="1:14" x14ac:dyDescent="0.25">
      <c r="A117" s="15"/>
      <c r="B117" s="16"/>
      <c r="C117" s="13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</row>
    <row r="118" spans="1:14" x14ac:dyDescent="0.25">
      <c r="A118" s="15"/>
      <c r="B118" s="13"/>
      <c r="C118" s="13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</row>
    <row r="119" spans="1:14" x14ac:dyDescent="0.25">
      <c r="A119" s="15"/>
      <c r="B119" s="13"/>
      <c r="C119" s="13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</row>
    <row r="120" spans="1:14" x14ac:dyDescent="0.25">
      <c r="A120" s="15"/>
      <c r="B120" s="13"/>
      <c r="C120" s="13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</row>
    <row r="121" spans="1:14" x14ac:dyDescent="0.25">
      <c r="A121" s="15"/>
      <c r="B121" s="13"/>
      <c r="C121" s="13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</row>
    <row r="122" spans="1:14" x14ac:dyDescent="0.25">
      <c r="A122" s="15"/>
      <c r="B122" s="13"/>
      <c r="C122" s="13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</row>
    <row r="123" spans="1:14" x14ac:dyDescent="0.25">
      <c r="A123" s="15"/>
      <c r="B123" s="13"/>
      <c r="C123" s="13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</row>
    <row r="124" spans="1:14" x14ac:dyDescent="0.25">
      <c r="A124" s="15"/>
      <c r="B124" s="13"/>
      <c r="C124" s="13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</row>
    <row r="125" spans="1:14" x14ac:dyDescent="0.25">
      <c r="A125" s="15"/>
      <c r="B125" s="13"/>
      <c r="C125" s="13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</row>
    <row r="126" spans="1:14" x14ac:dyDescent="0.25">
      <c r="A126" s="15"/>
      <c r="B126" s="13"/>
      <c r="C126" s="13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</row>
    <row r="127" spans="1:14" x14ac:dyDescent="0.25">
      <c r="A127" s="15"/>
      <c r="B127" s="13"/>
      <c r="C127" s="13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</row>
    <row r="128" spans="1:14" x14ac:dyDescent="0.25">
      <c r="A128" s="15"/>
      <c r="B128" s="13"/>
      <c r="C128" s="13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</row>
    <row r="129" spans="1:14" x14ac:dyDescent="0.25">
      <c r="A129" s="15"/>
      <c r="B129" s="13"/>
      <c r="C129" s="13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</row>
    <row r="130" spans="1:14" x14ac:dyDescent="0.25">
      <c r="A130" s="15"/>
      <c r="B130" s="13"/>
      <c r="C130" s="13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</row>
    <row r="131" spans="1:14" x14ac:dyDescent="0.25">
      <c r="A131" s="15"/>
      <c r="B131" s="13"/>
      <c r="C131" s="13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</row>
    <row r="132" spans="1:14" x14ac:dyDescent="0.25">
      <c r="A132" s="15"/>
      <c r="B132" s="13"/>
      <c r="C132" s="13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</row>
    <row r="133" spans="1:14" x14ac:dyDescent="0.25">
      <c r="A133" s="15"/>
      <c r="B133" s="13"/>
      <c r="C133" s="13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</row>
    <row r="134" spans="1:14" x14ac:dyDescent="0.25">
      <c r="A134" s="15"/>
      <c r="B134" s="13"/>
      <c r="C134" s="13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</row>
    <row r="135" spans="1:14" x14ac:dyDescent="0.25">
      <c r="A135" s="15"/>
      <c r="B135" s="13"/>
      <c r="C135" s="13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</row>
    <row r="136" spans="1:14" x14ac:dyDescent="0.25">
      <c r="A136" s="15"/>
      <c r="B136" s="13"/>
      <c r="C136" s="13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</row>
    <row r="137" spans="1:14" x14ac:dyDescent="0.25">
      <c r="A137" s="15"/>
      <c r="B137" s="13"/>
      <c r="C137" s="13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</row>
    <row r="138" spans="1:14" x14ac:dyDescent="0.25">
      <c r="A138" s="15"/>
      <c r="B138" s="13"/>
      <c r="C138" s="13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</row>
    <row r="139" spans="1:14" x14ac:dyDescent="0.25">
      <c r="A139" s="15"/>
      <c r="B139" s="13"/>
      <c r="C139" s="13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</row>
    <row r="140" spans="1:14" x14ac:dyDescent="0.25">
      <c r="A140" s="15"/>
      <c r="B140" s="13"/>
      <c r="C140" s="13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</row>
    <row r="141" spans="1:14" x14ac:dyDescent="0.25">
      <c r="A141" s="15"/>
      <c r="B141" s="13"/>
      <c r="C141" s="13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</row>
    <row r="142" spans="1:14" x14ac:dyDescent="0.25">
      <c r="A142" s="15"/>
      <c r="B142" s="13"/>
      <c r="C142" s="13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</row>
    <row r="143" spans="1:14" x14ac:dyDescent="0.25">
      <c r="A143" s="15"/>
      <c r="B143" s="13"/>
      <c r="C143" s="13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</row>
    <row r="144" spans="1:14" x14ac:dyDescent="0.25">
      <c r="A144" s="15"/>
      <c r="B144" s="13"/>
      <c r="C144" s="13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</row>
    <row r="145" spans="1:14" x14ac:dyDescent="0.25">
      <c r="A145" s="15"/>
      <c r="B145" s="13"/>
      <c r="C145" s="13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</row>
    <row r="146" spans="1:14" x14ac:dyDescent="0.25">
      <c r="A146" s="15"/>
      <c r="B146" s="13"/>
      <c r="C146" s="13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</row>
    <row r="147" spans="1:14" x14ac:dyDescent="0.25">
      <c r="A147" s="15"/>
      <c r="B147" s="13"/>
      <c r="C147" s="13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</row>
    <row r="148" spans="1:14" x14ac:dyDescent="0.25">
      <c r="A148" s="15"/>
      <c r="B148" s="13"/>
      <c r="C148" s="13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</row>
    <row r="149" spans="1:14" x14ac:dyDescent="0.25">
      <c r="A149" s="15"/>
      <c r="B149" s="13"/>
      <c r="C149" s="13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</row>
    <row r="150" spans="1:14" x14ac:dyDescent="0.25">
      <c r="A150" s="15"/>
      <c r="B150" s="13"/>
      <c r="C150" s="13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</row>
    <row r="151" spans="1:14" x14ac:dyDescent="0.25">
      <c r="A151" s="15"/>
      <c r="B151" s="13"/>
      <c r="C151" s="13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</row>
    <row r="152" spans="1:14" x14ac:dyDescent="0.25">
      <c r="A152" s="15"/>
      <c r="B152" s="13"/>
      <c r="C152" s="13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</row>
    <row r="153" spans="1:14" x14ac:dyDescent="0.25">
      <c r="A153" s="15"/>
      <c r="B153" s="13"/>
      <c r="C153" s="13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</row>
    <row r="154" spans="1:14" x14ac:dyDescent="0.25">
      <c r="A154" s="15"/>
      <c r="B154" s="13"/>
      <c r="C154" s="13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</row>
    <row r="155" spans="1:14" x14ac:dyDescent="0.25">
      <c r="A155" s="15"/>
      <c r="B155" s="13"/>
      <c r="C155" s="13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</row>
    <row r="156" spans="1:14" x14ac:dyDescent="0.25">
      <c r="A156" s="15"/>
      <c r="B156" s="13"/>
      <c r="C156" s="13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</row>
    <row r="157" spans="1:14" x14ac:dyDescent="0.25">
      <c r="A157" s="15"/>
      <c r="B157" s="13"/>
      <c r="C157" s="13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</row>
    <row r="158" spans="1:14" x14ac:dyDescent="0.25">
      <c r="A158" s="15"/>
      <c r="B158" s="13"/>
      <c r="C158" s="13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</row>
    <row r="159" spans="1:14" x14ac:dyDescent="0.25">
      <c r="A159" s="15"/>
      <c r="B159" s="13"/>
      <c r="C159" s="13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</row>
    <row r="160" spans="1:14" x14ac:dyDescent="0.25">
      <c r="A160" s="15"/>
      <c r="B160" s="13"/>
      <c r="C160" s="13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</row>
    <row r="161" spans="1:14" x14ac:dyDescent="0.25">
      <c r="A161" s="15"/>
      <c r="B161" s="13"/>
      <c r="C161" s="13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</row>
    <row r="162" spans="1:14" x14ac:dyDescent="0.25">
      <c r="A162" s="15"/>
      <c r="B162" s="13"/>
      <c r="C162" s="13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</row>
    <row r="163" spans="1:14" x14ac:dyDescent="0.25">
      <c r="A163" s="15"/>
      <c r="B163" s="13"/>
      <c r="C163" s="13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</row>
    <row r="164" spans="1:14" x14ac:dyDescent="0.25">
      <c r="A164" s="15"/>
      <c r="B164" s="13"/>
      <c r="C164" s="13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</row>
    <row r="165" spans="1:14" x14ac:dyDescent="0.25">
      <c r="A165" s="15"/>
      <c r="B165" s="13"/>
      <c r="C165" s="13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</row>
    <row r="166" spans="1:14" x14ac:dyDescent="0.25">
      <c r="A166" s="15"/>
      <c r="B166" s="13"/>
      <c r="C166" s="13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</row>
    <row r="167" spans="1:14" x14ac:dyDescent="0.25">
      <c r="A167" s="15"/>
      <c r="B167" s="13"/>
      <c r="C167" s="13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</row>
    <row r="168" spans="1:14" x14ac:dyDescent="0.25">
      <c r="A168" s="15"/>
      <c r="B168" s="13"/>
      <c r="C168" s="13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</row>
    <row r="169" spans="1:14" x14ac:dyDescent="0.25">
      <c r="A169" s="15"/>
      <c r="B169" s="13"/>
      <c r="C169" s="13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</row>
    <row r="170" spans="1:14" x14ac:dyDescent="0.25">
      <c r="A170" s="15"/>
      <c r="B170" s="13"/>
      <c r="C170" s="13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</row>
    <row r="171" spans="1:14" x14ac:dyDescent="0.25">
      <c r="A171" s="15"/>
      <c r="B171" s="13"/>
      <c r="C171" s="13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</row>
    <row r="172" spans="1:14" x14ac:dyDescent="0.25">
      <c r="A172" s="15"/>
      <c r="B172" s="13"/>
      <c r="C172" s="13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</row>
    <row r="173" spans="1:14" x14ac:dyDescent="0.25">
      <c r="A173" s="15"/>
      <c r="B173" s="13"/>
      <c r="C173" s="13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</row>
    <row r="174" spans="1:14" x14ac:dyDescent="0.25">
      <c r="A174" s="15"/>
      <c r="B174" s="13"/>
      <c r="C174" s="13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</row>
    <row r="175" spans="1:14" x14ac:dyDescent="0.25">
      <c r="A175" s="15"/>
      <c r="B175" s="13"/>
      <c r="C175" s="13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</row>
    <row r="176" spans="1:14" x14ac:dyDescent="0.25">
      <c r="A176" s="15"/>
      <c r="B176" s="13"/>
      <c r="C176" s="13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</row>
    <row r="177" spans="1:14" x14ac:dyDescent="0.25">
      <c r="A177" s="15"/>
      <c r="B177" s="13"/>
      <c r="C177" s="13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</row>
    <row r="178" spans="1:14" x14ac:dyDescent="0.25">
      <c r="A178" s="15"/>
      <c r="B178" s="13"/>
      <c r="C178" s="13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</row>
    <row r="179" spans="1:14" x14ac:dyDescent="0.25">
      <c r="A179" s="15"/>
      <c r="B179" s="13"/>
      <c r="C179" s="13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</row>
    <row r="180" spans="1:14" x14ac:dyDescent="0.25">
      <c r="A180" s="15"/>
      <c r="B180" s="13"/>
      <c r="C180" s="13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</row>
    <row r="181" spans="1:14" x14ac:dyDescent="0.25">
      <c r="A181" s="15"/>
      <c r="B181" s="13"/>
      <c r="C181" s="13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</row>
    <row r="182" spans="1:14" x14ac:dyDescent="0.25">
      <c r="A182" s="15"/>
      <c r="B182" s="13"/>
      <c r="C182" s="13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</row>
    <row r="183" spans="1:14" x14ac:dyDescent="0.25">
      <c r="A183" s="15"/>
      <c r="B183" s="13"/>
      <c r="C183" s="13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</row>
    <row r="184" spans="1:14" x14ac:dyDescent="0.25">
      <c r="A184" s="15"/>
      <c r="B184" s="13"/>
      <c r="C184" s="13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</row>
    <row r="185" spans="1:14" x14ac:dyDescent="0.25">
      <c r="A185" s="15"/>
      <c r="B185" s="13"/>
      <c r="C185" s="13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</row>
    <row r="186" spans="1:14" x14ac:dyDescent="0.25">
      <c r="A186" s="15"/>
      <c r="B186" s="13"/>
      <c r="C186" s="13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</row>
    <row r="187" spans="1:14" x14ac:dyDescent="0.25">
      <c r="A187" s="15"/>
      <c r="B187" s="13"/>
      <c r="C187" s="13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</row>
    <row r="188" spans="1:14" x14ac:dyDescent="0.25">
      <c r="A188" s="15"/>
      <c r="B188" s="13"/>
      <c r="C188" s="13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</row>
    <row r="189" spans="1:14" x14ac:dyDescent="0.25">
      <c r="A189" s="15"/>
      <c r="B189" s="13"/>
      <c r="C189" s="13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</row>
    <row r="190" spans="1:14" x14ac:dyDescent="0.25">
      <c r="A190" s="15"/>
      <c r="B190" s="13"/>
      <c r="C190" s="13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</row>
    <row r="191" spans="1:14" x14ac:dyDescent="0.25">
      <c r="A191" s="15"/>
      <c r="B191" s="13"/>
      <c r="C191" s="13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</row>
    <row r="192" spans="1:14" x14ac:dyDescent="0.25">
      <c r="A192" s="15"/>
      <c r="B192" s="13"/>
      <c r="C192" s="13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</row>
    <row r="193" spans="1:14" x14ac:dyDescent="0.25">
      <c r="A193" s="15"/>
      <c r="B193" s="13"/>
      <c r="C193" s="13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</row>
    <row r="194" spans="1:14" x14ac:dyDescent="0.25">
      <c r="A194" s="15"/>
      <c r="B194" s="13"/>
      <c r="C194" s="13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</row>
    <row r="195" spans="1:14" x14ac:dyDescent="0.25">
      <c r="A195" s="15"/>
      <c r="B195" s="13"/>
      <c r="C195" s="13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</row>
    <row r="196" spans="1:14" x14ac:dyDescent="0.25">
      <c r="A196" s="15"/>
      <c r="B196" s="13"/>
      <c r="C196" s="13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</row>
    <row r="197" spans="1:14" x14ac:dyDescent="0.25">
      <c r="A197" s="15"/>
      <c r="B197" s="13"/>
      <c r="C197" s="13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</row>
    <row r="198" spans="1:14" x14ac:dyDescent="0.25">
      <c r="A198" s="15"/>
      <c r="B198" s="13"/>
      <c r="C198" s="13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</row>
    <row r="199" spans="1:14" x14ac:dyDescent="0.25">
      <c r="A199" s="15"/>
      <c r="B199" s="13"/>
      <c r="C199" s="13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</row>
    <row r="200" spans="1:14" x14ac:dyDescent="0.25">
      <c r="A200" s="15"/>
      <c r="B200" s="13"/>
      <c r="C200" s="13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</row>
    <row r="201" spans="1:14" x14ac:dyDescent="0.25">
      <c r="A201" s="15"/>
      <c r="B201" s="13"/>
      <c r="C201" s="13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</row>
    <row r="202" spans="1:14" x14ac:dyDescent="0.25">
      <c r="A202" s="15"/>
      <c r="B202" s="13"/>
      <c r="C202" s="13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</row>
    <row r="203" spans="1:14" x14ac:dyDescent="0.25">
      <c r="A203" s="15"/>
      <c r="B203" s="13"/>
      <c r="C203" s="13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</row>
    <row r="204" spans="1:14" x14ac:dyDescent="0.25">
      <c r="A204" s="15"/>
      <c r="B204" s="13"/>
      <c r="C204" s="13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</row>
    <row r="205" spans="1:14" x14ac:dyDescent="0.25">
      <c r="A205" s="15"/>
      <c r="B205" s="13"/>
      <c r="C205" s="13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</row>
    <row r="206" spans="1:14" x14ac:dyDescent="0.25">
      <c r="A206" s="15"/>
      <c r="B206" s="13"/>
      <c r="C206" s="13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</row>
    <row r="207" spans="1:14" x14ac:dyDescent="0.25">
      <c r="A207" s="15"/>
      <c r="B207" s="13"/>
      <c r="C207" s="13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</row>
    <row r="208" spans="1:14" x14ac:dyDescent="0.25">
      <c r="A208" s="15"/>
      <c r="B208" s="13"/>
      <c r="C208" s="13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</row>
    <row r="209" spans="1:14" x14ac:dyDescent="0.25">
      <c r="A209" s="15"/>
      <c r="B209" s="13"/>
      <c r="C209" s="13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</row>
    <row r="210" spans="1:14" x14ac:dyDescent="0.25">
      <c r="A210" s="15"/>
      <c r="B210" s="13"/>
      <c r="C210" s="13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</row>
    <row r="211" spans="1:14" x14ac:dyDescent="0.25">
      <c r="A211" s="15"/>
      <c r="B211" s="13"/>
      <c r="C211" s="13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</row>
    <row r="212" spans="1:14" x14ac:dyDescent="0.25">
      <c r="A212" s="15"/>
      <c r="B212" s="13"/>
      <c r="C212" s="13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</row>
    <row r="213" spans="1:14" x14ac:dyDescent="0.25">
      <c r="A213" s="15"/>
      <c r="B213" s="13"/>
      <c r="C213" s="13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</row>
    <row r="214" spans="1:14" x14ac:dyDescent="0.25">
      <c r="A214" s="15"/>
      <c r="B214" s="13"/>
      <c r="C214" s="13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</row>
    <row r="215" spans="1:14" x14ac:dyDescent="0.25">
      <c r="A215" s="15"/>
      <c r="B215" s="13"/>
      <c r="C215" s="13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</row>
    <row r="216" spans="1:14" x14ac:dyDescent="0.25">
      <c r="A216" s="15"/>
      <c r="B216" s="13"/>
      <c r="C216" s="13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</row>
    <row r="217" spans="1:14" x14ac:dyDescent="0.25">
      <c r="A217" s="15"/>
      <c r="B217" s="13"/>
      <c r="C217" s="13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</row>
    <row r="218" spans="1:14" x14ac:dyDescent="0.25">
      <c r="A218" s="15"/>
      <c r="B218" s="13"/>
      <c r="C218" s="13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</row>
    <row r="219" spans="1:14" x14ac:dyDescent="0.25">
      <c r="A219" s="15"/>
      <c r="B219" s="13"/>
      <c r="C219" s="13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</row>
    <row r="220" spans="1:14" x14ac:dyDescent="0.25">
      <c r="A220" s="15"/>
      <c r="B220" s="13"/>
      <c r="C220" s="13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</row>
    <row r="221" spans="1:14" x14ac:dyDescent="0.25">
      <c r="A221" s="15"/>
      <c r="B221" s="13"/>
      <c r="C221" s="13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</row>
    <row r="222" spans="1:14" x14ac:dyDescent="0.25">
      <c r="A222" s="15"/>
      <c r="B222" s="13"/>
      <c r="C222" s="13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</row>
    <row r="223" spans="1:14" x14ac:dyDescent="0.25">
      <c r="A223" s="15"/>
      <c r="B223" s="13"/>
      <c r="C223" s="13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</row>
    <row r="224" spans="1:14" x14ac:dyDescent="0.25">
      <c r="A224" s="15"/>
      <c r="B224" s="13"/>
      <c r="C224" s="13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</row>
    <row r="225" spans="1:14" x14ac:dyDescent="0.25">
      <c r="A225" s="15"/>
      <c r="B225" s="13"/>
      <c r="C225" s="13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</row>
    <row r="226" spans="1:14" x14ac:dyDescent="0.25">
      <c r="A226" s="15"/>
      <c r="B226" s="13"/>
      <c r="C226" s="13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</row>
    <row r="227" spans="1:14" x14ac:dyDescent="0.25">
      <c r="A227" s="15"/>
      <c r="B227" s="13"/>
      <c r="C227" s="13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</row>
    <row r="228" spans="1:14" x14ac:dyDescent="0.25">
      <c r="A228" s="15"/>
      <c r="B228" s="13"/>
      <c r="C228" s="13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</row>
    <row r="229" spans="1:14" x14ac:dyDescent="0.25">
      <c r="A229" s="15"/>
      <c r="B229" s="13"/>
      <c r="C229" s="13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</row>
    <row r="230" spans="1:14" x14ac:dyDescent="0.25">
      <c r="A230" s="15"/>
      <c r="B230" s="13"/>
      <c r="C230" s="13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</row>
    <row r="231" spans="1:14" x14ac:dyDescent="0.25">
      <c r="A231" s="15"/>
      <c r="B231" s="13"/>
      <c r="C231" s="13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</row>
    <row r="232" spans="1:14" x14ac:dyDescent="0.25">
      <c r="A232" s="15"/>
      <c r="B232" s="13"/>
      <c r="C232" s="13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</row>
    <row r="233" spans="1:14" x14ac:dyDescent="0.25">
      <c r="A233" s="15"/>
      <c r="B233" s="13"/>
      <c r="C233" s="13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</row>
    <row r="234" spans="1:14" x14ac:dyDescent="0.25">
      <c r="A234" s="15"/>
      <c r="B234" s="13"/>
      <c r="C234" s="13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</row>
    <row r="235" spans="1:14" x14ac:dyDescent="0.25">
      <c r="A235" s="15"/>
      <c r="B235" s="13"/>
      <c r="C235" s="13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</row>
    <row r="236" spans="1:14" x14ac:dyDescent="0.25">
      <c r="A236" s="15"/>
      <c r="B236" s="13"/>
      <c r="C236" s="13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</row>
    <row r="237" spans="1:14" x14ac:dyDescent="0.25">
      <c r="A237" s="15"/>
      <c r="B237" s="13"/>
      <c r="C237" s="13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</row>
    <row r="238" spans="1:14" x14ac:dyDescent="0.25">
      <c r="A238" s="15"/>
      <c r="B238" s="13"/>
      <c r="C238" s="13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</row>
    <row r="239" spans="1:14" x14ac:dyDescent="0.25">
      <c r="A239" s="15"/>
      <c r="B239" s="13"/>
      <c r="C239" s="13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</row>
    <row r="240" spans="1:14" x14ac:dyDescent="0.25">
      <c r="A240" s="15"/>
      <c r="B240" s="13"/>
      <c r="C240" s="13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</row>
    <row r="241" spans="1:14" x14ac:dyDescent="0.25">
      <c r="A241" s="15"/>
      <c r="B241" s="13"/>
      <c r="C241" s="13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</row>
    <row r="242" spans="1:14" x14ac:dyDescent="0.25">
      <c r="A242" s="15"/>
      <c r="B242" s="13"/>
      <c r="C242" s="13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</row>
    <row r="243" spans="1:14" x14ac:dyDescent="0.25">
      <c r="A243" s="15"/>
      <c r="B243" s="13"/>
      <c r="C243" s="13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</row>
    <row r="244" spans="1:14" x14ac:dyDescent="0.25">
      <c r="A244" s="15"/>
      <c r="B244" s="13"/>
      <c r="C244" s="13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</row>
    <row r="245" spans="1:14" x14ac:dyDescent="0.25">
      <c r="A245" s="15"/>
      <c r="B245" s="13"/>
      <c r="C245" s="13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</row>
    <row r="246" spans="1:14" x14ac:dyDescent="0.25">
      <c r="A246" s="15"/>
      <c r="B246" s="13"/>
      <c r="C246" s="13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</row>
    <row r="247" spans="1:14" x14ac:dyDescent="0.25">
      <c r="A247" s="15"/>
      <c r="B247" s="13"/>
      <c r="C247" s="13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</row>
    <row r="248" spans="1:14" x14ac:dyDescent="0.25">
      <c r="A248" s="15"/>
      <c r="B248" s="13"/>
      <c r="C248" s="13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</row>
    <row r="249" spans="1:14" x14ac:dyDescent="0.25">
      <c r="A249" s="15"/>
      <c r="B249" s="13"/>
      <c r="C249" s="13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</row>
    <row r="250" spans="1:14" x14ac:dyDescent="0.25">
      <c r="A250" s="15"/>
      <c r="B250" s="13"/>
      <c r="C250" s="13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</row>
    <row r="251" spans="1:14" x14ac:dyDescent="0.25">
      <c r="A251" s="15"/>
      <c r="B251" s="13"/>
      <c r="C251" s="13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</row>
    <row r="252" spans="1:14" x14ac:dyDescent="0.25">
      <c r="A252" s="15"/>
      <c r="B252" s="13"/>
      <c r="C252" s="13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</row>
    <row r="253" spans="1:14" x14ac:dyDescent="0.25">
      <c r="A253" s="15"/>
      <c r="B253" s="13"/>
      <c r="C253" s="13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</row>
    <row r="254" spans="1:14" x14ac:dyDescent="0.25">
      <c r="A254" s="15"/>
      <c r="B254" s="13"/>
      <c r="C254" s="13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</row>
    <row r="255" spans="1:14" x14ac:dyDescent="0.25">
      <c r="A255" s="15"/>
      <c r="B255" s="13"/>
      <c r="C255" s="13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</row>
    <row r="256" spans="1:14" x14ac:dyDescent="0.25">
      <c r="A256" s="15"/>
      <c r="B256" s="13"/>
      <c r="C256" s="13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</row>
    <row r="257" spans="1:14" x14ac:dyDescent="0.25">
      <c r="A257" s="15"/>
      <c r="B257" s="13"/>
      <c r="C257" s="13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</row>
    <row r="258" spans="1:14" x14ac:dyDescent="0.25">
      <c r="A258" s="15"/>
      <c r="B258" s="13"/>
      <c r="C258" s="13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</row>
    <row r="259" spans="1:14" x14ac:dyDescent="0.25">
      <c r="A259" s="15"/>
      <c r="B259" s="13"/>
      <c r="C259" s="13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</row>
    <row r="260" spans="1:14" x14ac:dyDescent="0.25">
      <c r="A260" s="15"/>
      <c r="B260" s="13"/>
      <c r="C260" s="13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</row>
    <row r="261" spans="1:14" x14ac:dyDescent="0.25">
      <c r="A261" s="15"/>
      <c r="B261" s="13"/>
      <c r="C261" s="13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</row>
    <row r="262" spans="1:14" x14ac:dyDescent="0.25">
      <c r="A262" s="15"/>
      <c r="B262" s="13"/>
      <c r="C262" s="13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</row>
    <row r="263" spans="1:14" x14ac:dyDescent="0.25">
      <c r="A263" s="15"/>
      <c r="B263" s="13"/>
      <c r="C263" s="13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</row>
    <row r="264" spans="1:14" x14ac:dyDescent="0.25">
      <c r="A264" s="15"/>
      <c r="B264" s="13"/>
      <c r="C264" s="13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</row>
    <row r="265" spans="1:14" x14ac:dyDescent="0.25">
      <c r="A265" s="15"/>
      <c r="B265" s="13"/>
      <c r="C265" s="13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</row>
    <row r="266" spans="1:14" x14ac:dyDescent="0.25">
      <c r="A266" s="15"/>
      <c r="B266" s="13"/>
      <c r="C266" s="13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</row>
    <row r="267" spans="1:14" x14ac:dyDescent="0.25">
      <c r="A267" s="15"/>
      <c r="B267" s="13"/>
      <c r="C267" s="13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</row>
    <row r="268" spans="1:14" x14ac:dyDescent="0.25">
      <c r="A268" s="15"/>
      <c r="B268" s="13"/>
      <c r="C268" s="13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</row>
    <row r="269" spans="1:14" x14ac:dyDescent="0.25">
      <c r="A269" s="15"/>
      <c r="B269" s="13"/>
      <c r="C269" s="13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</row>
    <row r="270" spans="1:14" x14ac:dyDescent="0.25">
      <c r="A270" s="15"/>
      <c r="B270" s="13"/>
      <c r="C270" s="13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</row>
    <row r="271" spans="1:14" x14ac:dyDescent="0.25">
      <c r="A271" s="15"/>
      <c r="B271" s="13"/>
      <c r="C271" s="13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</row>
    <row r="272" spans="1:14" x14ac:dyDescent="0.25">
      <c r="A272" s="15"/>
      <c r="B272" s="13"/>
      <c r="C272" s="13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</row>
    <row r="273" spans="1:14" x14ac:dyDescent="0.25">
      <c r="A273" s="15"/>
      <c r="B273" s="13"/>
      <c r="C273" s="13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</row>
    <row r="274" spans="1:14" x14ac:dyDescent="0.25">
      <c r="A274" s="15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"/>
  <sheetViews>
    <sheetView workbookViewId="0">
      <selection activeCell="E38" sqref="E38"/>
    </sheetView>
  </sheetViews>
  <sheetFormatPr baseColWidth="10" defaultColWidth="8.7109375" defaultRowHeight="15" x14ac:dyDescent="0.25"/>
  <cols>
    <col min="1" max="3" width="11.42578125"/>
  </cols>
  <sheetData>
    <row r="1" spans="1:56" x14ac:dyDescent="0.25">
      <c r="A1" t="s">
        <v>29</v>
      </c>
      <c r="B1" t="s">
        <v>30</v>
      </c>
      <c r="C1" t="s">
        <v>16</v>
      </c>
      <c r="D1" t="s">
        <v>31</v>
      </c>
      <c r="E1" t="s">
        <v>32</v>
      </c>
      <c r="F1">
        <v>1980</v>
      </c>
      <c r="G1">
        <v>1981</v>
      </c>
      <c r="H1">
        <v>1982</v>
      </c>
      <c r="I1">
        <v>1983</v>
      </c>
      <c r="J1">
        <v>1984</v>
      </c>
      <c r="K1">
        <v>1985</v>
      </c>
      <c r="L1">
        <v>1986</v>
      </c>
      <c r="M1">
        <v>1987</v>
      </c>
      <c r="N1">
        <v>1988</v>
      </c>
      <c r="O1">
        <v>1989</v>
      </c>
      <c r="P1">
        <v>1990</v>
      </c>
      <c r="Q1">
        <v>1991</v>
      </c>
      <c r="R1">
        <v>1992</v>
      </c>
      <c r="S1">
        <v>1993</v>
      </c>
      <c r="T1">
        <v>1994</v>
      </c>
      <c r="U1">
        <v>1995</v>
      </c>
      <c r="V1">
        <v>1996</v>
      </c>
      <c r="W1">
        <v>1997</v>
      </c>
      <c r="X1">
        <v>1998</v>
      </c>
      <c r="Y1">
        <v>1999</v>
      </c>
      <c r="Z1">
        <v>2000</v>
      </c>
      <c r="AA1">
        <v>2001</v>
      </c>
      <c r="AB1">
        <v>2002</v>
      </c>
      <c r="AC1">
        <v>2003</v>
      </c>
      <c r="AD1">
        <v>2004</v>
      </c>
      <c r="AE1">
        <v>2005</v>
      </c>
      <c r="AF1">
        <v>2006</v>
      </c>
      <c r="AG1">
        <v>2007</v>
      </c>
      <c r="AH1">
        <v>2008</v>
      </c>
      <c r="AI1">
        <v>2009</v>
      </c>
      <c r="AJ1">
        <v>2010</v>
      </c>
      <c r="AK1">
        <v>2011</v>
      </c>
      <c r="AL1">
        <v>2012</v>
      </c>
      <c r="AM1">
        <v>2013</v>
      </c>
      <c r="AN1">
        <v>2014</v>
      </c>
      <c r="AO1">
        <v>2015</v>
      </c>
      <c r="AP1">
        <v>2016</v>
      </c>
      <c r="AQ1">
        <v>2017</v>
      </c>
      <c r="AR1">
        <v>2018</v>
      </c>
      <c r="AS1">
        <v>2019</v>
      </c>
      <c r="AT1">
        <v>2020</v>
      </c>
      <c r="AU1">
        <v>2021</v>
      </c>
      <c r="AV1">
        <v>2022</v>
      </c>
      <c r="AW1">
        <v>2023</v>
      </c>
      <c r="AX1">
        <v>2024</v>
      </c>
      <c r="AY1">
        <v>2025</v>
      </c>
      <c r="AZ1">
        <v>2026</v>
      </c>
      <c r="BA1">
        <v>2027</v>
      </c>
      <c r="BB1">
        <v>2028</v>
      </c>
      <c r="BC1">
        <v>2029</v>
      </c>
      <c r="BD1" t="s">
        <v>33</v>
      </c>
    </row>
    <row r="2" spans="1:56" x14ac:dyDescent="0.25">
      <c r="A2" t="s">
        <v>34</v>
      </c>
      <c r="B2" t="s">
        <v>35</v>
      </c>
      <c r="C2" t="s">
        <v>36</v>
      </c>
      <c r="D2" t="s">
        <v>16</v>
      </c>
      <c r="E2" t="s">
        <v>37</v>
      </c>
      <c r="F2" s="21">
        <v>1966</v>
      </c>
      <c r="G2" s="21">
        <v>3472</v>
      </c>
      <c r="H2" s="21">
        <v>1088</v>
      </c>
      <c r="I2" s="21">
        <v>-2058</v>
      </c>
      <c r="J2" t="s">
        <v>38</v>
      </c>
      <c r="K2" s="21">
        <v>1498</v>
      </c>
      <c r="L2" t="s">
        <v>39</v>
      </c>
      <c r="M2" s="21">
        <v>1797</v>
      </c>
      <c r="N2" s="21">
        <v>2002</v>
      </c>
      <c r="O2" s="21">
        <v>4644</v>
      </c>
      <c r="P2" s="21">
        <v>3563</v>
      </c>
      <c r="Q2" t="s">
        <v>40</v>
      </c>
      <c r="R2" t="s">
        <v>41</v>
      </c>
      <c r="S2" t="s">
        <v>42</v>
      </c>
      <c r="T2" t="s">
        <v>43</v>
      </c>
      <c r="U2" s="21">
        <v>-1202</v>
      </c>
      <c r="V2" t="s">
        <v>44</v>
      </c>
      <c r="W2" t="s">
        <v>45</v>
      </c>
      <c r="X2" t="s">
        <v>46</v>
      </c>
      <c r="Y2" s="21">
        <v>1139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  <c r="AG2" t="s">
        <v>54</v>
      </c>
      <c r="AH2" t="s">
        <v>55</v>
      </c>
      <c r="AI2" t="s">
        <v>56</v>
      </c>
      <c r="AJ2" t="s">
        <v>57</v>
      </c>
      <c r="AK2" s="21">
        <v>-1120</v>
      </c>
      <c r="AL2" t="s">
        <v>58</v>
      </c>
      <c r="AM2" t="s">
        <v>59</v>
      </c>
      <c r="AN2" s="21">
        <v>-1069</v>
      </c>
      <c r="AO2" s="21">
        <v>-1461</v>
      </c>
      <c r="AP2" s="21">
        <v>-1090</v>
      </c>
      <c r="AQ2" s="21">
        <v>-1019</v>
      </c>
      <c r="AR2" t="s">
        <v>60</v>
      </c>
      <c r="AS2" s="21">
        <v>-1001</v>
      </c>
      <c r="AT2" s="21">
        <v>-3805</v>
      </c>
      <c r="AU2" t="s">
        <v>61</v>
      </c>
      <c r="AV2" s="21">
        <v>1250</v>
      </c>
      <c r="AW2" s="21">
        <v>1243</v>
      </c>
      <c r="AX2" t="s">
        <v>62</v>
      </c>
      <c r="AY2" t="s">
        <v>63</v>
      </c>
      <c r="AZ2" t="s">
        <v>64</v>
      </c>
      <c r="BA2" t="s">
        <v>64</v>
      </c>
      <c r="BB2" t="s">
        <v>64</v>
      </c>
      <c r="BC2" t="s">
        <v>64</v>
      </c>
      <c r="BD2">
        <v>2023</v>
      </c>
    </row>
    <row r="5" spans="1:56" x14ac:dyDescent="0.25">
      <c r="A5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DBAA-9845-4501-88D5-BCD5D8AE5B8F}">
  <dimension ref="A1:B75"/>
  <sheetViews>
    <sheetView workbookViewId="0">
      <selection activeCell="B12" sqref="B12"/>
    </sheetView>
  </sheetViews>
  <sheetFormatPr baseColWidth="10" defaultRowHeight="15" x14ac:dyDescent="0.25"/>
  <cols>
    <col min="2" max="2" width="70.140625" bestFit="1" customWidth="1"/>
  </cols>
  <sheetData>
    <row r="1" spans="1:2" x14ac:dyDescent="0.25">
      <c r="A1" s="22" t="s">
        <v>66</v>
      </c>
      <c r="B1" s="22"/>
    </row>
    <row r="2" spans="1:2" x14ac:dyDescent="0.25">
      <c r="A2" s="22" t="s">
        <v>67</v>
      </c>
      <c r="B2" s="22"/>
    </row>
    <row r="3" spans="1:2" x14ac:dyDescent="0.25">
      <c r="A3" s="22" t="s">
        <v>68</v>
      </c>
      <c r="B3" s="22"/>
    </row>
    <row r="4" spans="1:2" x14ac:dyDescent="0.25">
      <c r="A4" s="22" t="s">
        <v>69</v>
      </c>
      <c r="B4" s="22"/>
    </row>
    <row r="5" spans="1:2" x14ac:dyDescent="0.25">
      <c r="A5" s="22" t="s">
        <v>70</v>
      </c>
      <c r="B5" s="22"/>
    </row>
    <row r="6" spans="1:2" x14ac:dyDescent="0.25">
      <c r="A6" s="22" t="s">
        <v>71</v>
      </c>
      <c r="B6" s="22"/>
    </row>
    <row r="8" spans="1:2" x14ac:dyDescent="0.25">
      <c r="A8" s="22" t="s">
        <v>72</v>
      </c>
      <c r="B8" s="22" t="s">
        <v>73</v>
      </c>
    </row>
    <row r="10" spans="1:2" x14ac:dyDescent="0.25">
      <c r="A10" s="22" t="s">
        <v>74</v>
      </c>
      <c r="B10" s="22"/>
    </row>
    <row r="11" spans="1:2" x14ac:dyDescent="0.25">
      <c r="A11" s="22" t="s">
        <v>75</v>
      </c>
      <c r="B11" s="22" t="s">
        <v>72</v>
      </c>
    </row>
    <row r="12" spans="1:2" x14ac:dyDescent="0.25">
      <c r="A12" s="23">
        <v>21916</v>
      </c>
      <c r="B12" s="24">
        <v>3.7288135593220302</v>
      </c>
    </row>
    <row r="13" spans="1:2" x14ac:dyDescent="0.25">
      <c r="A13" s="23">
        <v>22282</v>
      </c>
      <c r="B13" s="24">
        <v>2.28758169934641</v>
      </c>
    </row>
    <row r="14" spans="1:2" x14ac:dyDescent="0.25">
      <c r="A14" s="23">
        <v>22647</v>
      </c>
      <c r="B14" s="24">
        <v>-0.31948881789137901</v>
      </c>
    </row>
    <row r="15" spans="1:2" x14ac:dyDescent="0.25">
      <c r="A15" s="23">
        <v>23012</v>
      </c>
      <c r="B15" s="24">
        <v>0.64102564102565196</v>
      </c>
    </row>
    <row r="16" spans="1:2" x14ac:dyDescent="0.25">
      <c r="A16" s="23">
        <v>23377</v>
      </c>
      <c r="B16" s="24">
        <v>2.8662420382165599</v>
      </c>
    </row>
    <row r="17" spans="1:2" x14ac:dyDescent="0.25">
      <c r="A17" s="23">
        <v>23743</v>
      </c>
      <c r="B17" s="24">
        <v>3.4055727554179498</v>
      </c>
    </row>
    <row r="18" spans="1:2" x14ac:dyDescent="0.25">
      <c r="A18" s="23">
        <v>24108</v>
      </c>
      <c r="B18" s="24">
        <v>3.2934131736526902</v>
      </c>
    </row>
    <row r="19" spans="1:2" x14ac:dyDescent="0.25">
      <c r="A19" s="23">
        <v>24473</v>
      </c>
      <c r="B19" s="24">
        <v>3.47826086956522</v>
      </c>
    </row>
    <row r="20" spans="1:2" x14ac:dyDescent="0.25">
      <c r="A20" s="23">
        <v>24838</v>
      </c>
      <c r="B20" s="24">
        <v>2.52100840336134</v>
      </c>
    </row>
    <row r="21" spans="1:2" x14ac:dyDescent="0.25">
      <c r="A21" s="23">
        <v>25204</v>
      </c>
      <c r="B21" s="24">
        <v>3.27868852459016</v>
      </c>
    </row>
    <row r="22" spans="1:2" x14ac:dyDescent="0.25">
      <c r="A22" s="23">
        <v>25569</v>
      </c>
      <c r="B22" s="24">
        <v>3.4391534391534102</v>
      </c>
    </row>
    <row r="23" spans="1:2" x14ac:dyDescent="0.25">
      <c r="A23" s="23">
        <v>25934</v>
      </c>
      <c r="B23" s="24">
        <v>6.1381074168798397</v>
      </c>
    </row>
    <row r="24" spans="1:2" x14ac:dyDescent="0.25">
      <c r="A24" s="23">
        <v>26299</v>
      </c>
      <c r="B24" s="24">
        <v>6.0240963855421299</v>
      </c>
    </row>
    <row r="25" spans="1:2" x14ac:dyDescent="0.25">
      <c r="A25" s="23">
        <v>26665</v>
      </c>
      <c r="B25" s="24">
        <v>9.0909090909091503</v>
      </c>
    </row>
    <row r="26" spans="1:2" x14ac:dyDescent="0.25">
      <c r="A26" s="23">
        <v>27030</v>
      </c>
      <c r="B26" s="24">
        <v>15.4166666666666</v>
      </c>
    </row>
    <row r="27" spans="1:2" x14ac:dyDescent="0.25">
      <c r="A27" s="23">
        <v>27395</v>
      </c>
      <c r="B27" s="24">
        <v>15.162454873646199</v>
      </c>
    </row>
    <row r="28" spans="1:2" x14ac:dyDescent="0.25">
      <c r="A28" s="23">
        <v>27760</v>
      </c>
      <c r="B28" s="24">
        <v>13.3228840125392</v>
      </c>
    </row>
    <row r="29" spans="1:2" x14ac:dyDescent="0.25">
      <c r="A29" s="23">
        <v>28126</v>
      </c>
      <c r="B29" s="24">
        <v>12.3098201936376</v>
      </c>
    </row>
    <row r="30" spans="1:2" x14ac:dyDescent="0.25">
      <c r="A30" s="23">
        <v>28491</v>
      </c>
      <c r="B30" s="24">
        <v>8.0049261083744003</v>
      </c>
    </row>
    <row r="31" spans="1:2" x14ac:dyDescent="0.25">
      <c r="A31" s="23">
        <v>28856</v>
      </c>
      <c r="B31" s="24">
        <v>9.1220068415051507</v>
      </c>
    </row>
    <row r="32" spans="1:2" x14ac:dyDescent="0.25">
      <c r="A32" s="23">
        <v>29221</v>
      </c>
      <c r="B32" s="24">
        <v>10.1358411703239</v>
      </c>
    </row>
    <row r="33" spans="1:2" x14ac:dyDescent="0.25">
      <c r="A33" s="23">
        <v>29587</v>
      </c>
      <c r="B33" s="24">
        <v>9.4876660341556107</v>
      </c>
    </row>
    <row r="34" spans="1:2" x14ac:dyDescent="0.25">
      <c r="A34" s="23">
        <v>29952</v>
      </c>
      <c r="B34" s="24">
        <v>11.3518197573657</v>
      </c>
    </row>
    <row r="35" spans="1:2" x14ac:dyDescent="0.25">
      <c r="A35" s="23">
        <v>30317</v>
      </c>
      <c r="B35" s="24">
        <v>10.038910505836601</v>
      </c>
    </row>
    <row r="36" spans="1:2" x14ac:dyDescent="0.25">
      <c r="A36" s="23">
        <v>30682</v>
      </c>
      <c r="B36" s="24">
        <v>3.9603960396039599</v>
      </c>
    </row>
    <row r="37" spans="1:2" x14ac:dyDescent="0.25">
      <c r="A37" s="23">
        <v>31048</v>
      </c>
      <c r="B37" s="24">
        <v>6.7346938775509999</v>
      </c>
    </row>
    <row r="38" spans="1:2" x14ac:dyDescent="0.25">
      <c r="A38" s="23">
        <v>31413</v>
      </c>
      <c r="B38" s="24">
        <v>9.0503505417463401</v>
      </c>
    </row>
    <row r="39" spans="1:2" x14ac:dyDescent="0.25">
      <c r="A39" s="23">
        <v>31778</v>
      </c>
      <c r="B39" s="24">
        <v>8.5330216247808295</v>
      </c>
    </row>
    <row r="40" spans="1:2" x14ac:dyDescent="0.25">
      <c r="A40" s="23">
        <v>32143</v>
      </c>
      <c r="B40" s="24">
        <v>7.2159396876682802</v>
      </c>
    </row>
    <row r="41" spans="1:2" x14ac:dyDescent="0.25">
      <c r="A41" s="23">
        <v>32509</v>
      </c>
      <c r="B41" s="24">
        <v>7.5339025615268804</v>
      </c>
    </row>
    <row r="42" spans="1:2" x14ac:dyDescent="0.25">
      <c r="A42" s="23">
        <v>32874</v>
      </c>
      <c r="B42" s="24">
        <v>7.3330219523587203</v>
      </c>
    </row>
    <row r="43" spans="1:2" x14ac:dyDescent="0.25">
      <c r="A43" s="23">
        <v>33239</v>
      </c>
      <c r="B43" s="24">
        <v>3.17667536988685</v>
      </c>
    </row>
    <row r="44" spans="1:2" x14ac:dyDescent="0.25">
      <c r="A44" s="23">
        <v>33604</v>
      </c>
      <c r="B44" s="24">
        <v>1.0122311261071399</v>
      </c>
    </row>
    <row r="45" spans="1:2" x14ac:dyDescent="0.25">
      <c r="A45" s="23">
        <v>33970</v>
      </c>
      <c r="B45" s="24">
        <v>1.75365344467641</v>
      </c>
    </row>
    <row r="46" spans="1:2" x14ac:dyDescent="0.25">
      <c r="A46" s="23">
        <v>34335</v>
      </c>
      <c r="B46" s="24">
        <v>1.9696347968814101</v>
      </c>
    </row>
    <row r="47" spans="1:2" x14ac:dyDescent="0.25">
      <c r="A47" s="23">
        <v>34700</v>
      </c>
      <c r="B47" s="24">
        <v>4.6277665995975896</v>
      </c>
    </row>
    <row r="48" spans="1:2" x14ac:dyDescent="0.25">
      <c r="A48" s="23">
        <v>35065</v>
      </c>
      <c r="B48" s="24">
        <v>2.6153846153846101</v>
      </c>
    </row>
    <row r="49" spans="1:2" x14ac:dyDescent="0.25">
      <c r="A49" s="23">
        <v>35431</v>
      </c>
      <c r="B49" s="24">
        <v>0.224887556221887</v>
      </c>
    </row>
    <row r="50" spans="1:2" x14ac:dyDescent="0.25">
      <c r="A50" s="23">
        <v>35796</v>
      </c>
      <c r="B50" s="24">
        <v>0.86013462976814203</v>
      </c>
    </row>
    <row r="51" spans="1:2" x14ac:dyDescent="0.25">
      <c r="A51" s="23">
        <v>36161</v>
      </c>
      <c r="B51" s="24">
        <v>1.4831294030404101</v>
      </c>
    </row>
    <row r="52" spans="1:2" x14ac:dyDescent="0.25">
      <c r="A52" s="23">
        <v>36526</v>
      </c>
      <c r="B52" s="24">
        <v>4.4574351479722401</v>
      </c>
    </row>
    <row r="53" spans="1:2" x14ac:dyDescent="0.25">
      <c r="A53" s="23">
        <v>36892</v>
      </c>
      <c r="B53" s="24">
        <v>4.4071353620146896</v>
      </c>
    </row>
    <row r="54" spans="1:2" x14ac:dyDescent="0.25">
      <c r="A54" s="23">
        <v>37257</v>
      </c>
      <c r="B54" s="24">
        <v>2.9815745393634798</v>
      </c>
    </row>
    <row r="55" spans="1:2" x14ac:dyDescent="0.25">
      <c r="A55" s="23">
        <v>37622</v>
      </c>
      <c r="B55" s="24">
        <v>2.7325959661678598</v>
      </c>
    </row>
    <row r="56" spans="1:2" x14ac:dyDescent="0.25">
      <c r="A56" s="23">
        <v>37987</v>
      </c>
      <c r="B56" s="24">
        <v>2.34325522482583</v>
      </c>
    </row>
    <row r="57" spans="1:2" x14ac:dyDescent="0.25">
      <c r="A57" s="23">
        <v>38353</v>
      </c>
      <c r="B57" s="24">
        <v>2.6918316831683202</v>
      </c>
    </row>
    <row r="58" spans="1:2" x14ac:dyDescent="0.25">
      <c r="A58" s="23">
        <v>38718</v>
      </c>
      <c r="B58" s="24">
        <v>3.5552877372702598</v>
      </c>
    </row>
    <row r="59" spans="1:2" x14ac:dyDescent="0.25">
      <c r="A59" s="23">
        <v>39083</v>
      </c>
      <c r="B59" s="24">
        <v>2.3276112889147602</v>
      </c>
    </row>
    <row r="60" spans="1:2" x14ac:dyDescent="0.25">
      <c r="A60" s="23">
        <v>39448</v>
      </c>
      <c r="B60" s="24">
        <v>4.3502985499004803</v>
      </c>
    </row>
    <row r="61" spans="1:2" x14ac:dyDescent="0.25">
      <c r="A61" s="23">
        <v>39814</v>
      </c>
      <c r="B61" s="24">
        <v>1.77111716621254</v>
      </c>
    </row>
    <row r="62" spans="1:2" x14ac:dyDescent="0.25">
      <c r="A62" s="23">
        <v>40179</v>
      </c>
      <c r="B62" s="24">
        <v>2.9183400267737598</v>
      </c>
    </row>
    <row r="63" spans="1:2" x14ac:dyDescent="0.25">
      <c r="A63" s="23">
        <v>40544</v>
      </c>
      <c r="B63" s="24">
        <v>3.3038501560874001</v>
      </c>
    </row>
    <row r="64" spans="1:2" x14ac:dyDescent="0.25">
      <c r="A64" s="23">
        <v>40909</v>
      </c>
      <c r="B64" s="24">
        <v>1.76278015613196</v>
      </c>
    </row>
    <row r="65" spans="1:2" x14ac:dyDescent="0.25">
      <c r="A65" s="23">
        <v>41275</v>
      </c>
      <c r="B65" s="24">
        <v>2.4498886414254</v>
      </c>
    </row>
    <row r="66" spans="1:2" x14ac:dyDescent="0.25">
      <c r="A66" s="23">
        <v>41640</v>
      </c>
      <c r="B66" s="24">
        <v>2.4879227053140398</v>
      </c>
    </row>
    <row r="67" spans="1:2" x14ac:dyDescent="0.25">
      <c r="A67" s="23">
        <v>42005</v>
      </c>
      <c r="B67" s="24">
        <v>1.50836672165921</v>
      </c>
    </row>
    <row r="68" spans="1:2" x14ac:dyDescent="0.25">
      <c r="A68" s="23">
        <v>42370</v>
      </c>
      <c r="B68" s="24">
        <v>1.2769909449732399</v>
      </c>
    </row>
    <row r="69" spans="1:2" x14ac:dyDescent="0.25">
      <c r="A69" s="23">
        <v>42736</v>
      </c>
      <c r="B69" s="24">
        <v>1.9486474094452699</v>
      </c>
    </row>
    <row r="70" spans="1:2" x14ac:dyDescent="0.25">
      <c r="A70" s="23">
        <v>43101</v>
      </c>
      <c r="B70" s="24">
        <v>1.91140094445691</v>
      </c>
    </row>
    <row r="71" spans="1:2" x14ac:dyDescent="0.25">
      <c r="A71" s="23">
        <v>43466</v>
      </c>
      <c r="B71" s="24">
        <v>1.61076787290379</v>
      </c>
    </row>
    <row r="72" spans="1:2" x14ac:dyDescent="0.25">
      <c r="A72" s="23">
        <v>43831</v>
      </c>
      <c r="B72" s="24">
        <v>0.84690553745930497</v>
      </c>
    </row>
    <row r="73" spans="1:2" x14ac:dyDescent="0.25">
      <c r="A73" s="23">
        <v>44197</v>
      </c>
      <c r="B73" s="24">
        <v>2.8639104220499401</v>
      </c>
    </row>
    <row r="74" spans="1:2" x14ac:dyDescent="0.25">
      <c r="A74" s="23">
        <v>44562</v>
      </c>
      <c r="B74" s="24">
        <v>6.5940967134184598</v>
      </c>
    </row>
    <row r="75" spans="1:2" x14ac:dyDescent="0.25">
      <c r="A75" s="23">
        <v>44927</v>
      </c>
      <c r="B75" s="24">
        <v>5.5970149253730996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Data</vt:lpstr>
      <vt:lpstr>Feuil1</vt:lpstr>
      <vt:lpstr>Tabelle1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 elk</dc:creator>
  <cp:lastModifiedBy>Sabri El Kaddouri</cp:lastModifiedBy>
  <dcterms:created xsi:type="dcterms:W3CDTF">2015-06-05T18:19:34Z</dcterms:created>
  <dcterms:modified xsi:type="dcterms:W3CDTF">2024-12-02T08:47:30Z</dcterms:modified>
</cp:coreProperties>
</file>